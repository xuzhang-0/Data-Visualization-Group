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<sst xmlns="http://schemas.openxmlformats.org/spreadsheetml/2006/main" count="235" uniqueCount="113">
  <si>
    <t>学科领域</t>
  </si>
  <si>
    <t>学科大类</t>
  </si>
  <si>
    <t>135发文量</t>
  </si>
  <si>
    <t>占135中东欧国家总发文量占比</t>
  </si>
  <si>
    <t>135位次</t>
  </si>
  <si>
    <t>125发文量</t>
  </si>
  <si>
    <t>占125中东欧国家总发文量占比</t>
  </si>
  <si>
    <t>125位次</t>
  </si>
  <si>
    <t>135对比125</t>
  </si>
  <si>
    <t>原始数据</t>
  </si>
  <si>
    <t>125研究方向</t>
  </si>
  <si>
    <t>135研究方向</t>
  </si>
  <si>
    <t>增长率</t>
  </si>
  <si>
    <t>位次变化</t>
  </si>
  <si>
    <t>学科</t>
  </si>
  <si>
    <t>发文数</t>
  </si>
  <si>
    <t>排名</t>
  </si>
  <si>
    <t>物理学</t>
  </si>
  <si>
    <t>理学</t>
  </si>
  <si>
    <t>化学</t>
  </si>
  <si>
    <t>天文学</t>
  </si>
  <si>
    <t>材料科学与工程</t>
  </si>
  <si>
    <t>工学</t>
  </si>
  <si>
    <t>生物学</t>
  </si>
  <si>
    <t>数学</t>
  </si>
  <si>
    <t>临床医学</t>
  </si>
  <si>
    <t>医学</t>
  </si>
  <si>
    <t>计算机科学与技术</t>
  </si>
  <si>
    <t>环境科学与工程</t>
  </si>
  <si>
    <t>基础医学</t>
  </si>
  <si>
    <t>石油与天然气工程</t>
  </si>
  <si>
    <t>地球物理学</t>
  </si>
  <si>
    <t>仪器科学与技术</t>
  </si>
  <si>
    <t>信息与通信工程</t>
  </si>
  <si>
    <t>公共卫生与预防医学</t>
  </si>
  <si>
    <t>管理科学与工程</t>
  </si>
  <si>
    <t>土木工程</t>
  </si>
  <si>
    <t>机械工程</t>
  </si>
  <si>
    <t>控制科学与工程</t>
  </si>
  <si>
    <t>软件工程</t>
  </si>
  <si>
    <t>力学</t>
  </si>
  <si>
    <t>生物工程</t>
  </si>
  <si>
    <t>化学工程与技术</t>
  </si>
  <si>
    <t>药学</t>
  </si>
  <si>
    <t>核科学与技术</t>
  </si>
  <si>
    <t>生物医学工程</t>
  </si>
  <si>
    <t>冶金工程</t>
  </si>
  <si>
    <t>光学工程</t>
  </si>
  <si>
    <t>统计学</t>
  </si>
  <si>
    <t>生态学</t>
  </si>
  <si>
    <t>动力工程及工程热物理</t>
  </si>
  <si>
    <t>医学技术</t>
  </si>
  <si>
    <t>教育学</t>
  </si>
  <si>
    <t>大气科学</t>
  </si>
  <si>
    <t>特种医学</t>
  </si>
  <si>
    <t>测绘科学与技术</t>
  </si>
  <si>
    <t>地质学</t>
  </si>
  <si>
    <t>食品科学与工程</t>
  </si>
  <si>
    <t>航空宇航科学与技术</t>
  </si>
  <si>
    <t>心理学</t>
  </si>
  <si>
    <t>电子科学与技术</t>
  </si>
  <si>
    <t>地理学</t>
  </si>
  <si>
    <t>交通运输工程</t>
  </si>
  <si>
    <t>系统科学</t>
  </si>
  <si>
    <t>工商管理</t>
  </si>
  <si>
    <t>电气工程</t>
  </si>
  <si>
    <t>水利工程</t>
  </si>
  <si>
    <t>科学技术史</t>
  </si>
  <si>
    <t>公共管理</t>
  </si>
  <si>
    <t>社会学</t>
  </si>
  <si>
    <t>城乡规划学</t>
  </si>
  <si>
    <t>口腔医学</t>
  </si>
  <si>
    <t>船舶与海洋工程</t>
  </si>
  <si>
    <t>矿业工程</t>
  </si>
  <si>
    <t>图书情报与档案管理</t>
  </si>
  <si>
    <t>地质资源与地质工程</t>
  </si>
  <si>
    <t>农业工程</t>
  </si>
  <si>
    <t>作物学</t>
  </si>
  <si>
    <t>建筑学</t>
  </si>
  <si>
    <t>海洋科学</t>
  </si>
  <si>
    <t>法学</t>
  </si>
  <si>
    <t>政治学</t>
  </si>
  <si>
    <t>农业资源与环境</t>
  </si>
  <si>
    <t>林学</t>
  </si>
  <si>
    <t>植物保护</t>
  </si>
  <si>
    <t>安全科学与工程</t>
  </si>
  <si>
    <t>轻工技术与工程</t>
  </si>
  <si>
    <t>畜牧学</t>
  </si>
  <si>
    <t>兵器科学与技术</t>
  </si>
  <si>
    <t>应用经济学</t>
  </si>
  <si>
    <t>兽医学</t>
  </si>
  <si>
    <t>哲学</t>
  </si>
  <si>
    <t>新闻传播学</t>
  </si>
  <si>
    <t>中药学</t>
  </si>
  <si>
    <t>体育学</t>
  </si>
  <si>
    <t>音乐与舞蹈学</t>
  </si>
  <si>
    <t>考古学</t>
  </si>
  <si>
    <t>纺织科学与工程</t>
  </si>
  <si>
    <t>世界史</t>
  </si>
  <si>
    <t>水产</t>
  </si>
  <si>
    <t>园艺学</t>
  </si>
  <si>
    <t>理论经济学</t>
  </si>
  <si>
    <t>农林经济管理</t>
  </si>
  <si>
    <t>网络空间安全</t>
  </si>
  <si>
    <t>风景园林学</t>
  </si>
  <si>
    <t>林业工程</t>
  </si>
  <si>
    <t>草学</t>
  </si>
  <si>
    <t>中医学</t>
  </si>
  <si>
    <t>民族学</t>
  </si>
  <si>
    <t>戏剧与影视学</t>
  </si>
  <si>
    <t>护理学</t>
  </si>
  <si>
    <t>艺术学理论</t>
  </si>
  <si>
    <t>设计学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</si>
</sst>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5">
    <font>
      <sz val="12"/>
      <name val="宋体"/>
      <charset val="134"/>
    </font>
    <font>
      <sz val="11"/>
      <color theme="1"/>
      <name val="宋体"/>
      <charset val="134"/>
      <scheme val="minor"/>
    </font>
    <font>
      <b/>
      <sz val="10.5"/>
      <color rgb="FF000000"/>
      <name val="Times New Roman"/>
      <charset val="0"/>
    </font>
    <font>
      <sz val="10.5"/>
      <color rgb="FF000000"/>
      <name val="Times New Roman"/>
      <charset val="0"/>
    </font>
    <font>
      <b/>
      <sz val="10.5"/>
      <name val="宋体"/>
      <charset val="134"/>
    </font>
    <font>
      <b/>
      <sz val="10.5"/>
      <color rgb="FF000000"/>
      <name val="宋体"/>
      <charset val="134"/>
    </font>
    <font>
      <b/>
      <sz val="10.5"/>
      <name val="Times New Roman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176" fontId="0" fillId="0" borderId="0" xfId="3" applyNumberForma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6"/>
  <sheetViews>
    <sheetView tabSelected="1" workbookViewId="0">
      <selection activeCell="H1" sqref="H1:H2"/>
    </sheetView>
  </sheetViews>
  <sheetFormatPr defaultColWidth="9" defaultRowHeight="15.6"/>
  <cols>
    <col min="1" max="1" width="3.5" customWidth="1"/>
    <col min="2" max="2" width="20.6" customWidth="1"/>
    <col min="3" max="3" width="9.5" customWidth="1"/>
    <col min="4" max="4" width="10.6" style="1" customWidth="1"/>
    <col min="5" max="5" width="28.4" style="1" customWidth="1"/>
    <col min="6" max="6" width="8.5" style="1" customWidth="1"/>
    <col min="7" max="7" width="10.6" style="1" customWidth="1"/>
    <col min="8" max="8" width="28.4" style="1" customWidth="1"/>
    <col min="9" max="9" width="8.5" style="1" customWidth="1"/>
    <col min="10" max="10" width="7.5" customWidth="1"/>
    <col min="11" max="11" width="9.1" customWidth="1"/>
    <col min="15" max="15" width="20.6" style="2" customWidth="1"/>
    <col min="16" max="16" width="5.1" style="2" customWidth="1"/>
    <col min="17" max="17" width="3.5" customWidth="1"/>
    <col min="18" max="18" width="20.6" customWidth="1"/>
    <col min="19" max="19" width="5.1" customWidth="1"/>
    <col min="20" max="20" width="3.5" customWidth="1"/>
  </cols>
  <sheetData>
    <row r="1" spans="1:20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/>
      <c r="N1" t="s">
        <v>9</v>
      </c>
      <c r="O1" s="5" t="s">
        <v>10</v>
      </c>
      <c r="P1" s="5"/>
      <c r="Q1" s="5"/>
      <c r="R1" s="1" t="s">
        <v>11</v>
      </c>
      <c r="S1" s="1"/>
      <c r="T1" s="1"/>
    </row>
    <row r="2" ht="15.75" customHeight="1" spans="1:20">
      <c r="A2" s="3"/>
      <c r="B2" s="4"/>
      <c r="C2" s="4"/>
      <c r="D2" s="4"/>
      <c r="E2" s="4"/>
      <c r="F2" s="4"/>
      <c r="G2" s="4"/>
      <c r="H2" s="4"/>
      <c r="I2" s="4"/>
      <c r="J2" s="6" t="s">
        <v>12</v>
      </c>
      <c r="K2" s="6" t="s">
        <v>13</v>
      </c>
      <c r="O2" s="7" t="s">
        <v>14</v>
      </c>
      <c r="P2" s="7" t="s">
        <v>15</v>
      </c>
      <c r="Q2" s="7" t="s">
        <v>16</v>
      </c>
      <c r="R2" s="8" t="s">
        <v>14</v>
      </c>
      <c r="S2" s="8" t="s">
        <v>15</v>
      </c>
      <c r="T2" s="8" t="s">
        <v>16</v>
      </c>
    </row>
    <row r="3" spans="1:20">
      <c r="A3" s="4">
        <v>1</v>
      </c>
      <c r="B3" s="2" t="s">
        <v>17</v>
      </c>
      <c r="C3" s="9" t="s">
        <v>18</v>
      </c>
      <c r="D3" s="10">
        <v>4958</v>
      </c>
      <c r="E3" s="11">
        <f>D3/17708</f>
        <v>0.279986446803705</v>
      </c>
      <c r="F3" s="12">
        <f>VLOOKUP(B3,R:T,3,0)</f>
        <v>1</v>
      </c>
      <c r="G3" s="12">
        <f>VLOOKUP(B3,O:P,2,0)</f>
        <v>3047</v>
      </c>
      <c r="H3" s="13">
        <f>G3/7977</f>
        <v>0.381973172872007</v>
      </c>
      <c r="I3" s="12">
        <f>VLOOKUP(B3,O:Q,3,0)</f>
        <v>1</v>
      </c>
      <c r="J3" s="11">
        <f>(D3-G3)/G3</f>
        <v>0.627174269773548</v>
      </c>
      <c r="K3" s="4">
        <f>I3-A3</f>
        <v>0</v>
      </c>
      <c r="O3" s="2" t="s">
        <v>17</v>
      </c>
      <c r="P3" s="2">
        <v>3047</v>
      </c>
      <c r="Q3">
        <v>1</v>
      </c>
      <c r="R3" s="2" t="s">
        <v>17</v>
      </c>
      <c r="S3" s="2">
        <v>4958</v>
      </c>
      <c r="T3">
        <v>1</v>
      </c>
    </row>
    <row r="4" spans="1:20">
      <c r="A4" s="4">
        <v>2</v>
      </c>
      <c r="B4" s="2" t="s">
        <v>19</v>
      </c>
      <c r="C4" s="9" t="s">
        <v>18</v>
      </c>
      <c r="D4" s="10">
        <v>2240</v>
      </c>
      <c r="E4" s="11">
        <f t="shared" ref="E4:E22" si="0">D4/17708</f>
        <v>0.126496498757624</v>
      </c>
      <c r="F4" s="12">
        <f t="shared" ref="F4:F22" si="1">VLOOKUP(B4,R:T,3,0)</f>
        <v>2</v>
      </c>
      <c r="G4" s="12">
        <f t="shared" ref="G4:G22" si="2">VLOOKUP(B4,O:P,2,0)</f>
        <v>936</v>
      </c>
      <c r="H4" s="13">
        <f t="shared" ref="H4:H22" si="3">G4/7977</f>
        <v>0.117337344866491</v>
      </c>
      <c r="I4" s="12">
        <f>VLOOKUP(B4,O:Q,3,0)</f>
        <v>4</v>
      </c>
      <c r="J4" s="11">
        <f t="shared" ref="J4:J22" si="4">(D4-G4)/G4</f>
        <v>1.39316239316239</v>
      </c>
      <c r="K4" s="4">
        <f t="shared" ref="K4:K22" si="5">I4-A4</f>
        <v>2</v>
      </c>
      <c r="O4" s="2" t="s">
        <v>20</v>
      </c>
      <c r="P4" s="2">
        <v>1136</v>
      </c>
      <c r="Q4">
        <v>2</v>
      </c>
      <c r="R4" s="2" t="s">
        <v>19</v>
      </c>
      <c r="S4" s="2">
        <v>2240</v>
      </c>
      <c r="T4">
        <v>2</v>
      </c>
    </row>
    <row r="5" spans="1:20">
      <c r="A5" s="4">
        <v>3</v>
      </c>
      <c r="B5" s="2" t="s">
        <v>21</v>
      </c>
      <c r="C5" s="9" t="s">
        <v>22</v>
      </c>
      <c r="D5" s="10">
        <v>1976</v>
      </c>
      <c r="E5" s="11">
        <f t="shared" si="0"/>
        <v>0.111587982832618</v>
      </c>
      <c r="F5" s="12">
        <f t="shared" si="1"/>
        <v>3</v>
      </c>
      <c r="G5" s="12">
        <f t="shared" si="2"/>
        <v>671</v>
      </c>
      <c r="H5" s="13">
        <f t="shared" si="3"/>
        <v>0.0841168359032218</v>
      </c>
      <c r="I5" s="12">
        <f t="shared" ref="I4:I22" si="6">VLOOKUP(B5,O:Q,3,0)</f>
        <v>7</v>
      </c>
      <c r="J5" s="11">
        <f t="shared" si="4"/>
        <v>1.94485842026826</v>
      </c>
      <c r="K5" s="4">
        <f t="shared" si="5"/>
        <v>4</v>
      </c>
      <c r="O5" s="2" t="s">
        <v>23</v>
      </c>
      <c r="P5" s="2">
        <v>959</v>
      </c>
      <c r="Q5">
        <v>3</v>
      </c>
      <c r="R5" s="2" t="s">
        <v>21</v>
      </c>
      <c r="S5" s="2">
        <v>1976</v>
      </c>
      <c r="T5">
        <v>3</v>
      </c>
    </row>
    <row r="6" spans="1:20">
      <c r="A6" s="4">
        <v>4</v>
      </c>
      <c r="B6" s="2" t="s">
        <v>23</v>
      </c>
      <c r="C6" s="9" t="s">
        <v>18</v>
      </c>
      <c r="D6" s="10">
        <v>1893</v>
      </c>
      <c r="E6" s="11">
        <f t="shared" si="0"/>
        <v>0.106900835780438</v>
      </c>
      <c r="F6" s="12">
        <f t="shared" si="1"/>
        <v>4</v>
      </c>
      <c r="G6" s="12">
        <f t="shared" si="2"/>
        <v>959</v>
      </c>
      <c r="H6" s="13">
        <f t="shared" si="3"/>
        <v>0.120220634323681</v>
      </c>
      <c r="I6" s="12">
        <f t="shared" si="6"/>
        <v>3</v>
      </c>
      <c r="J6" s="11">
        <f t="shared" si="4"/>
        <v>0.97393117831074</v>
      </c>
      <c r="K6" s="4">
        <f t="shared" si="5"/>
        <v>-1</v>
      </c>
      <c r="O6" s="2" t="s">
        <v>19</v>
      </c>
      <c r="P6" s="2">
        <v>936</v>
      </c>
      <c r="Q6">
        <v>4</v>
      </c>
      <c r="R6" s="2" t="s">
        <v>23</v>
      </c>
      <c r="S6" s="2">
        <v>1893</v>
      </c>
      <c r="T6">
        <v>4</v>
      </c>
    </row>
    <row r="7" spans="1:20">
      <c r="A7" s="4">
        <v>5</v>
      </c>
      <c r="B7" s="2" t="s">
        <v>20</v>
      </c>
      <c r="C7" s="9" t="s">
        <v>18</v>
      </c>
      <c r="D7" s="10">
        <v>1833</v>
      </c>
      <c r="E7" s="11">
        <f t="shared" si="0"/>
        <v>0.103512536706573</v>
      </c>
      <c r="F7" s="12">
        <f t="shared" si="1"/>
        <v>5</v>
      </c>
      <c r="G7" s="12">
        <f t="shared" si="2"/>
        <v>1136</v>
      </c>
      <c r="H7" s="13">
        <f t="shared" si="3"/>
        <v>0.142409427102921</v>
      </c>
      <c r="I7" s="12">
        <f t="shared" si="6"/>
        <v>2</v>
      </c>
      <c r="J7" s="11">
        <f t="shared" si="4"/>
        <v>0.613556338028169</v>
      </c>
      <c r="K7" s="4">
        <f t="shared" si="5"/>
        <v>-3</v>
      </c>
      <c r="O7" s="2" t="s">
        <v>24</v>
      </c>
      <c r="P7" s="2">
        <v>786</v>
      </c>
      <c r="Q7">
        <v>5</v>
      </c>
      <c r="R7" s="2" t="s">
        <v>20</v>
      </c>
      <c r="S7" s="2">
        <v>1833</v>
      </c>
      <c r="T7">
        <v>5</v>
      </c>
    </row>
    <row r="8" spans="1:20">
      <c r="A8" s="4">
        <v>6</v>
      </c>
      <c r="B8" s="2" t="s">
        <v>25</v>
      </c>
      <c r="C8" s="9" t="s">
        <v>26</v>
      </c>
      <c r="D8" s="10">
        <v>1796</v>
      </c>
      <c r="E8" s="11">
        <f t="shared" si="0"/>
        <v>0.101423085611023</v>
      </c>
      <c r="F8" s="12">
        <f t="shared" si="1"/>
        <v>6</v>
      </c>
      <c r="G8" s="12">
        <f t="shared" si="2"/>
        <v>735</v>
      </c>
      <c r="H8" s="13">
        <f t="shared" si="3"/>
        <v>0.0921399022188793</v>
      </c>
      <c r="I8" s="12">
        <f t="shared" si="6"/>
        <v>6</v>
      </c>
      <c r="J8" s="11">
        <f t="shared" si="4"/>
        <v>1.44353741496599</v>
      </c>
      <c r="K8" s="4">
        <f t="shared" si="5"/>
        <v>0</v>
      </c>
      <c r="O8" s="2" t="s">
        <v>25</v>
      </c>
      <c r="P8" s="2">
        <v>735</v>
      </c>
      <c r="Q8">
        <v>6</v>
      </c>
      <c r="R8" s="2" t="s">
        <v>25</v>
      </c>
      <c r="S8" s="2">
        <v>1796</v>
      </c>
      <c r="T8">
        <v>6</v>
      </c>
    </row>
    <row r="9" spans="1:20">
      <c r="A9" s="4">
        <v>7</v>
      </c>
      <c r="B9" s="2" t="s">
        <v>24</v>
      </c>
      <c r="C9" s="9" t="s">
        <v>18</v>
      </c>
      <c r="D9" s="10">
        <v>1519</v>
      </c>
      <c r="E9" s="11">
        <f t="shared" si="0"/>
        <v>0.0857804382200135</v>
      </c>
      <c r="F9" s="12">
        <f t="shared" si="1"/>
        <v>7</v>
      </c>
      <c r="G9" s="12">
        <f t="shared" si="2"/>
        <v>786</v>
      </c>
      <c r="H9" s="13">
        <f t="shared" si="3"/>
        <v>0.0985332831891689</v>
      </c>
      <c r="I9" s="12">
        <f t="shared" si="6"/>
        <v>5</v>
      </c>
      <c r="J9" s="11">
        <f t="shared" si="4"/>
        <v>0.932569974554707</v>
      </c>
      <c r="K9" s="4">
        <f t="shared" si="5"/>
        <v>-2</v>
      </c>
      <c r="O9" s="2" t="s">
        <v>21</v>
      </c>
      <c r="P9" s="2">
        <v>671</v>
      </c>
      <c r="Q9">
        <v>7</v>
      </c>
      <c r="R9" s="2" t="s">
        <v>24</v>
      </c>
      <c r="S9" s="2">
        <v>1519</v>
      </c>
      <c r="T9">
        <v>7</v>
      </c>
    </row>
    <row r="10" spans="1:20">
      <c r="A10" s="4">
        <v>8</v>
      </c>
      <c r="B10" s="2" t="s">
        <v>27</v>
      </c>
      <c r="C10" s="9" t="s">
        <v>22</v>
      </c>
      <c r="D10" s="10">
        <v>1307</v>
      </c>
      <c r="E10" s="11">
        <f t="shared" si="0"/>
        <v>0.0738084481590242</v>
      </c>
      <c r="F10" s="12">
        <f t="shared" si="1"/>
        <v>8</v>
      </c>
      <c r="G10" s="12">
        <f t="shared" si="2"/>
        <v>662</v>
      </c>
      <c r="H10" s="13">
        <f t="shared" si="3"/>
        <v>0.0829885922025824</v>
      </c>
      <c r="I10" s="12">
        <f t="shared" si="6"/>
        <v>8</v>
      </c>
      <c r="J10" s="11">
        <f t="shared" si="4"/>
        <v>0.974320241691843</v>
      </c>
      <c r="K10" s="4">
        <f t="shared" si="5"/>
        <v>0</v>
      </c>
      <c r="O10" s="2" t="s">
        <v>27</v>
      </c>
      <c r="P10" s="2">
        <v>662</v>
      </c>
      <c r="Q10">
        <v>8</v>
      </c>
      <c r="R10" s="2" t="s">
        <v>27</v>
      </c>
      <c r="S10" s="2">
        <v>1307</v>
      </c>
      <c r="T10">
        <v>8</v>
      </c>
    </row>
    <row r="11" spans="1:20">
      <c r="A11" s="4">
        <v>9</v>
      </c>
      <c r="B11" s="2" t="s">
        <v>28</v>
      </c>
      <c r="C11" s="9" t="s">
        <v>22</v>
      </c>
      <c r="D11" s="10">
        <v>1305</v>
      </c>
      <c r="E11" s="11">
        <f t="shared" si="0"/>
        <v>0.073695504856562</v>
      </c>
      <c r="F11" s="12">
        <f t="shared" si="1"/>
        <v>9</v>
      </c>
      <c r="G11" s="12">
        <f t="shared" si="2"/>
        <v>386</v>
      </c>
      <c r="H11" s="13">
        <f t="shared" si="3"/>
        <v>0.0483891187163094</v>
      </c>
      <c r="I11" s="12">
        <f t="shared" si="6"/>
        <v>10</v>
      </c>
      <c r="J11" s="11">
        <f t="shared" si="4"/>
        <v>2.38082901554404</v>
      </c>
      <c r="K11" s="4">
        <f t="shared" si="5"/>
        <v>1</v>
      </c>
      <c r="O11" s="2" t="s">
        <v>29</v>
      </c>
      <c r="P11" s="2">
        <v>545</v>
      </c>
      <c r="Q11">
        <v>9</v>
      </c>
      <c r="R11" s="2" t="s">
        <v>28</v>
      </c>
      <c r="S11" s="2">
        <v>1305</v>
      </c>
      <c r="T11">
        <v>9</v>
      </c>
    </row>
    <row r="12" spans="1:20">
      <c r="A12" s="4">
        <v>10</v>
      </c>
      <c r="B12" s="2" t="s">
        <v>29</v>
      </c>
      <c r="C12" s="9" t="s">
        <v>26</v>
      </c>
      <c r="D12" s="10">
        <v>1137</v>
      </c>
      <c r="E12" s="11">
        <f t="shared" si="0"/>
        <v>0.0642082674497402</v>
      </c>
      <c r="F12" s="12">
        <f t="shared" si="1"/>
        <v>10</v>
      </c>
      <c r="G12" s="12">
        <f t="shared" si="2"/>
        <v>545</v>
      </c>
      <c r="H12" s="13">
        <f t="shared" si="3"/>
        <v>0.068321424094271</v>
      </c>
      <c r="I12" s="12">
        <f t="shared" si="6"/>
        <v>9</v>
      </c>
      <c r="J12" s="11">
        <f t="shared" si="4"/>
        <v>1.08623853211009</v>
      </c>
      <c r="K12" s="4">
        <f t="shared" si="5"/>
        <v>-1</v>
      </c>
      <c r="O12" s="2" t="s">
        <v>28</v>
      </c>
      <c r="P12" s="2">
        <v>386</v>
      </c>
      <c r="Q12">
        <v>10</v>
      </c>
      <c r="R12" s="2" t="s">
        <v>29</v>
      </c>
      <c r="S12" s="2">
        <v>1137</v>
      </c>
      <c r="T12">
        <v>10</v>
      </c>
    </row>
    <row r="13" spans="1:20">
      <c r="A13" s="4">
        <v>11</v>
      </c>
      <c r="B13" s="3" t="s">
        <v>30</v>
      </c>
      <c r="C13" s="3"/>
      <c r="D13" s="4">
        <v>917</v>
      </c>
      <c r="E13" s="11">
        <f t="shared" si="0"/>
        <v>0.0517845041789022</v>
      </c>
      <c r="F13" s="12">
        <f t="shared" si="1"/>
        <v>11</v>
      </c>
      <c r="G13" s="12">
        <f t="shared" si="2"/>
        <v>243</v>
      </c>
      <c r="H13" s="13">
        <f t="shared" si="3"/>
        <v>0.0304625799172621</v>
      </c>
      <c r="I13" s="12">
        <f t="shared" si="6"/>
        <v>14</v>
      </c>
      <c r="J13" s="11">
        <f t="shared" si="4"/>
        <v>2.77366255144033</v>
      </c>
      <c r="K13" s="4">
        <f t="shared" si="5"/>
        <v>3</v>
      </c>
      <c r="O13" s="2" t="s">
        <v>31</v>
      </c>
      <c r="P13" s="2">
        <v>288</v>
      </c>
      <c r="Q13">
        <v>11</v>
      </c>
      <c r="R13" s="2" t="s">
        <v>30</v>
      </c>
      <c r="S13" s="2">
        <v>917</v>
      </c>
      <c r="T13">
        <v>11</v>
      </c>
    </row>
    <row r="14" spans="1:20">
      <c r="A14" s="4">
        <v>12</v>
      </c>
      <c r="B14" s="3" t="s">
        <v>31</v>
      </c>
      <c r="C14" s="3"/>
      <c r="D14" s="4">
        <v>721</v>
      </c>
      <c r="E14" s="11">
        <f t="shared" si="0"/>
        <v>0.0407160605376101</v>
      </c>
      <c r="F14" s="12">
        <f t="shared" si="1"/>
        <v>12</v>
      </c>
      <c r="G14" s="12">
        <f t="shared" si="2"/>
        <v>288</v>
      </c>
      <c r="H14" s="13">
        <f t="shared" si="3"/>
        <v>0.0361037984204588</v>
      </c>
      <c r="I14" s="12">
        <f t="shared" si="6"/>
        <v>11</v>
      </c>
      <c r="J14" s="11">
        <f t="shared" si="4"/>
        <v>1.50347222222222</v>
      </c>
      <c r="K14" s="4">
        <f t="shared" si="5"/>
        <v>-1</v>
      </c>
      <c r="O14" s="2" t="s">
        <v>32</v>
      </c>
      <c r="P14" s="2">
        <v>287</v>
      </c>
      <c r="Q14">
        <v>12</v>
      </c>
      <c r="R14" s="2" t="s">
        <v>31</v>
      </c>
      <c r="S14" s="2">
        <v>721</v>
      </c>
      <c r="T14">
        <v>12</v>
      </c>
    </row>
    <row r="15" spans="1:20">
      <c r="A15" s="4">
        <v>13</v>
      </c>
      <c r="B15" s="3" t="s">
        <v>32</v>
      </c>
      <c r="C15" s="3"/>
      <c r="D15" s="4">
        <v>692</v>
      </c>
      <c r="E15" s="11">
        <f t="shared" si="0"/>
        <v>0.0390783826519087</v>
      </c>
      <c r="F15" s="12">
        <f t="shared" si="1"/>
        <v>13</v>
      </c>
      <c r="G15" s="12">
        <f t="shared" si="2"/>
        <v>287</v>
      </c>
      <c r="H15" s="13">
        <f t="shared" si="3"/>
        <v>0.0359784380092767</v>
      </c>
      <c r="I15" s="12">
        <f t="shared" si="6"/>
        <v>12</v>
      </c>
      <c r="J15" s="11">
        <f t="shared" si="4"/>
        <v>1.41114982578397</v>
      </c>
      <c r="K15" s="4">
        <f t="shared" si="5"/>
        <v>-1</v>
      </c>
      <c r="O15" s="2" t="s">
        <v>33</v>
      </c>
      <c r="P15" s="2">
        <v>275</v>
      </c>
      <c r="Q15">
        <v>13</v>
      </c>
      <c r="R15" s="2" t="s">
        <v>32</v>
      </c>
      <c r="S15" s="2">
        <v>692</v>
      </c>
      <c r="T15">
        <v>13</v>
      </c>
    </row>
    <row r="16" spans="1:20">
      <c r="A16" s="4">
        <v>14</v>
      </c>
      <c r="B16" s="3" t="s">
        <v>33</v>
      </c>
      <c r="C16" s="3"/>
      <c r="D16" s="4">
        <v>626</v>
      </c>
      <c r="E16" s="11">
        <f t="shared" si="0"/>
        <v>0.0353512536706573</v>
      </c>
      <c r="F16" s="12">
        <f t="shared" si="1"/>
        <v>14</v>
      </c>
      <c r="G16" s="12">
        <f t="shared" si="2"/>
        <v>275</v>
      </c>
      <c r="H16" s="13">
        <f t="shared" si="3"/>
        <v>0.0344741130750909</v>
      </c>
      <c r="I16" s="12">
        <f t="shared" si="6"/>
        <v>13</v>
      </c>
      <c r="J16" s="11">
        <f t="shared" si="4"/>
        <v>1.27636363636364</v>
      </c>
      <c r="K16" s="4">
        <f t="shared" si="5"/>
        <v>-1</v>
      </c>
      <c r="O16" s="2" t="s">
        <v>30</v>
      </c>
      <c r="P16" s="2">
        <v>243</v>
      </c>
      <c r="Q16">
        <v>14</v>
      </c>
      <c r="R16" s="2" t="s">
        <v>33</v>
      </c>
      <c r="S16" s="2">
        <v>626</v>
      </c>
      <c r="T16">
        <v>14</v>
      </c>
    </row>
    <row r="17" spans="1:20">
      <c r="A17" s="4">
        <v>15</v>
      </c>
      <c r="B17" s="3" t="s">
        <v>34</v>
      </c>
      <c r="C17" s="3"/>
      <c r="D17" s="4">
        <v>506</v>
      </c>
      <c r="E17" s="11">
        <f t="shared" si="0"/>
        <v>0.0285746555229275</v>
      </c>
      <c r="F17" s="12">
        <f t="shared" si="1"/>
        <v>15</v>
      </c>
      <c r="G17" s="12">
        <f t="shared" si="2"/>
        <v>204</v>
      </c>
      <c r="H17" s="13">
        <f t="shared" si="3"/>
        <v>0.0255735238811583</v>
      </c>
      <c r="I17" s="12">
        <f t="shared" si="6"/>
        <v>19</v>
      </c>
      <c r="J17" s="11">
        <f t="shared" si="4"/>
        <v>1.48039215686275</v>
      </c>
      <c r="K17" s="4">
        <f t="shared" si="5"/>
        <v>4</v>
      </c>
      <c r="O17" s="2" t="s">
        <v>35</v>
      </c>
      <c r="P17" s="2">
        <v>222</v>
      </c>
      <c r="Q17">
        <v>15</v>
      </c>
      <c r="R17" s="2" t="s">
        <v>34</v>
      </c>
      <c r="S17" s="2">
        <v>506</v>
      </c>
      <c r="T17">
        <v>15</v>
      </c>
    </row>
    <row r="18" spans="1:20">
      <c r="A18" s="4">
        <v>16</v>
      </c>
      <c r="B18" s="3" t="s">
        <v>36</v>
      </c>
      <c r="C18" s="3"/>
      <c r="D18" s="4">
        <v>487</v>
      </c>
      <c r="E18" s="11">
        <f t="shared" si="0"/>
        <v>0.0275016941495369</v>
      </c>
      <c r="F18" s="12">
        <f t="shared" si="1"/>
        <v>16</v>
      </c>
      <c r="G18" s="12">
        <f t="shared" si="2"/>
        <v>180</v>
      </c>
      <c r="H18" s="13">
        <f t="shared" si="3"/>
        <v>0.0225648740127868</v>
      </c>
      <c r="I18" s="12">
        <f t="shared" si="6"/>
        <v>24</v>
      </c>
      <c r="J18" s="11">
        <f t="shared" si="4"/>
        <v>1.70555555555556</v>
      </c>
      <c r="K18" s="4">
        <f t="shared" si="5"/>
        <v>8</v>
      </c>
      <c r="O18" s="2" t="s">
        <v>37</v>
      </c>
      <c r="P18" s="2">
        <v>220</v>
      </c>
      <c r="Q18">
        <v>16</v>
      </c>
      <c r="R18" s="2" t="s">
        <v>36</v>
      </c>
      <c r="S18" s="2">
        <v>487</v>
      </c>
      <c r="T18">
        <v>16</v>
      </c>
    </row>
    <row r="19" spans="1:20">
      <c r="A19" s="4">
        <v>17</v>
      </c>
      <c r="B19" s="3" t="s">
        <v>35</v>
      </c>
      <c r="C19" s="3"/>
      <c r="D19" s="4">
        <v>481</v>
      </c>
      <c r="E19" s="11">
        <f t="shared" si="0"/>
        <v>0.0271628642421504</v>
      </c>
      <c r="F19" s="12">
        <f t="shared" si="1"/>
        <v>17</v>
      </c>
      <c r="G19" s="12">
        <f t="shared" si="2"/>
        <v>222</v>
      </c>
      <c r="H19" s="13">
        <f t="shared" si="3"/>
        <v>0.027830011282437</v>
      </c>
      <c r="I19" s="12">
        <f t="shared" si="6"/>
        <v>15</v>
      </c>
      <c r="J19" s="11">
        <f t="shared" si="4"/>
        <v>1.16666666666667</v>
      </c>
      <c r="K19" s="4">
        <f t="shared" si="5"/>
        <v>-2</v>
      </c>
      <c r="O19" s="2" t="s">
        <v>38</v>
      </c>
      <c r="P19" s="2">
        <v>220</v>
      </c>
      <c r="Q19">
        <v>17</v>
      </c>
      <c r="R19" s="2" t="s">
        <v>35</v>
      </c>
      <c r="S19" s="2">
        <v>481</v>
      </c>
      <c r="T19">
        <v>17</v>
      </c>
    </row>
    <row r="20" spans="1:20">
      <c r="A20" s="4">
        <v>18</v>
      </c>
      <c r="B20" s="3" t="s">
        <v>38</v>
      </c>
      <c r="C20" s="3"/>
      <c r="D20" s="4">
        <v>479</v>
      </c>
      <c r="E20" s="11">
        <f t="shared" si="0"/>
        <v>0.0270499209396883</v>
      </c>
      <c r="F20" s="12">
        <f t="shared" si="1"/>
        <v>18</v>
      </c>
      <c r="G20" s="12">
        <f t="shared" si="2"/>
        <v>220</v>
      </c>
      <c r="H20" s="13">
        <f t="shared" si="3"/>
        <v>0.0275792904600727</v>
      </c>
      <c r="I20" s="12">
        <f t="shared" si="6"/>
        <v>17</v>
      </c>
      <c r="J20" s="11">
        <f t="shared" si="4"/>
        <v>1.17727272727273</v>
      </c>
      <c r="K20" s="4">
        <f t="shared" si="5"/>
        <v>-1</v>
      </c>
      <c r="O20" s="2" t="s">
        <v>39</v>
      </c>
      <c r="P20" s="2">
        <v>204</v>
      </c>
      <c r="Q20">
        <v>18</v>
      </c>
      <c r="R20" s="2" t="s">
        <v>38</v>
      </c>
      <c r="S20" s="2">
        <v>479</v>
      </c>
      <c r="T20">
        <v>18</v>
      </c>
    </row>
    <row r="21" spans="1:20">
      <c r="A21" s="4">
        <v>19</v>
      </c>
      <c r="B21" s="3" t="s">
        <v>40</v>
      </c>
      <c r="C21" s="3"/>
      <c r="D21" s="4">
        <v>478</v>
      </c>
      <c r="E21" s="11">
        <f t="shared" si="0"/>
        <v>0.0269934492884572</v>
      </c>
      <c r="F21" s="12">
        <f t="shared" si="1"/>
        <v>19</v>
      </c>
      <c r="G21" s="12">
        <f t="shared" si="2"/>
        <v>198</v>
      </c>
      <c r="H21" s="13">
        <f t="shared" si="3"/>
        <v>0.0248213614140654</v>
      </c>
      <c r="I21" s="12">
        <f t="shared" si="6"/>
        <v>20</v>
      </c>
      <c r="J21" s="11">
        <f t="shared" si="4"/>
        <v>1.41414141414141</v>
      </c>
      <c r="K21" s="4">
        <f t="shared" si="5"/>
        <v>1</v>
      </c>
      <c r="O21" s="2" t="s">
        <v>34</v>
      </c>
      <c r="P21" s="2">
        <v>204</v>
      </c>
      <c r="Q21">
        <v>19</v>
      </c>
      <c r="R21" s="2" t="s">
        <v>40</v>
      </c>
      <c r="S21" s="2">
        <v>478</v>
      </c>
      <c r="T21">
        <v>19</v>
      </c>
    </row>
    <row r="22" spans="1:20">
      <c r="A22" s="4">
        <v>20</v>
      </c>
      <c r="B22" s="3" t="s">
        <v>37</v>
      </c>
      <c r="C22" s="3"/>
      <c r="D22" s="4">
        <v>477</v>
      </c>
      <c r="E22" s="11">
        <f t="shared" si="0"/>
        <v>0.0269369776372261</v>
      </c>
      <c r="F22" s="12">
        <f t="shared" si="1"/>
        <v>20</v>
      </c>
      <c r="G22" s="12">
        <f t="shared" si="2"/>
        <v>220</v>
      </c>
      <c r="H22" s="13">
        <f t="shared" si="3"/>
        <v>0.0275792904600727</v>
      </c>
      <c r="I22" s="12">
        <f t="shared" si="6"/>
        <v>16</v>
      </c>
      <c r="J22" s="11">
        <f t="shared" si="4"/>
        <v>1.16818181818182</v>
      </c>
      <c r="K22" s="4">
        <f t="shared" si="5"/>
        <v>-4</v>
      </c>
      <c r="O22" s="2" t="s">
        <v>40</v>
      </c>
      <c r="P22" s="2">
        <v>198</v>
      </c>
      <c r="Q22">
        <v>20</v>
      </c>
      <c r="R22" s="2" t="s">
        <v>37</v>
      </c>
      <c r="S22" s="2">
        <v>477</v>
      </c>
      <c r="T22">
        <v>20</v>
      </c>
    </row>
    <row r="23" spans="1:20">
      <c r="O23" s="2" t="s">
        <v>41</v>
      </c>
      <c r="P23" s="2">
        <v>191</v>
      </c>
      <c r="Q23">
        <v>21</v>
      </c>
      <c r="R23" s="2" t="s">
        <v>42</v>
      </c>
      <c r="S23" s="2">
        <v>440</v>
      </c>
      <c r="T23">
        <v>21</v>
      </c>
    </row>
    <row r="24" spans="1:20">
      <c r="B24" s="3"/>
      <c r="C24" s="3"/>
      <c r="D24" s="4"/>
      <c r="E24" s="4"/>
      <c r="F24" s="4"/>
      <c r="G24" s="4"/>
      <c r="H24" s="4"/>
      <c r="I24" s="4"/>
      <c r="J24" s="3"/>
      <c r="K24" s="3"/>
      <c r="O24" s="2" t="s">
        <v>43</v>
      </c>
      <c r="P24" s="2">
        <v>185</v>
      </c>
      <c r="Q24">
        <v>22</v>
      </c>
      <c r="R24" s="2" t="s">
        <v>44</v>
      </c>
      <c r="S24" s="2">
        <v>428</v>
      </c>
      <c r="T24">
        <v>22</v>
      </c>
    </row>
    <row r="25" spans="1:20">
      <c r="B25" s="14"/>
      <c r="C25" s="14"/>
      <c r="D25" s="15"/>
      <c r="E25" s="15"/>
      <c r="F25" s="15"/>
      <c r="G25" s="15"/>
      <c r="H25" s="15"/>
      <c r="I25" s="15"/>
      <c r="J25" s="15"/>
      <c r="K25" s="6"/>
      <c r="O25" s="2" t="s">
        <v>45</v>
      </c>
      <c r="P25" s="2">
        <v>183</v>
      </c>
      <c r="Q25">
        <v>23</v>
      </c>
      <c r="R25" s="2" t="s">
        <v>46</v>
      </c>
      <c r="S25" s="2">
        <v>427</v>
      </c>
      <c r="T25">
        <v>23</v>
      </c>
    </row>
    <row r="26" spans="1:20">
      <c r="B26" s="16"/>
      <c r="C26" s="16"/>
      <c r="D26" s="6"/>
      <c r="E26" s="6"/>
      <c r="F26" s="6"/>
      <c r="G26" s="6"/>
      <c r="H26" s="6"/>
      <c r="I26" s="6"/>
      <c r="J26" s="6"/>
      <c r="K26" s="6"/>
      <c r="O26" s="2" t="s">
        <v>36</v>
      </c>
      <c r="P26" s="2">
        <v>180</v>
      </c>
      <c r="Q26">
        <v>24</v>
      </c>
      <c r="R26" s="2" t="s">
        <v>47</v>
      </c>
      <c r="S26" s="2">
        <v>401</v>
      </c>
      <c r="T26">
        <v>24</v>
      </c>
    </row>
    <row r="27" spans="1:20">
      <c r="B27" s="16"/>
      <c r="C27" s="16"/>
      <c r="D27" s="6"/>
      <c r="E27" s="6"/>
      <c r="F27" s="6"/>
      <c r="G27" s="6"/>
      <c r="H27" s="6"/>
      <c r="I27" s="6"/>
      <c r="J27" s="6"/>
      <c r="K27" s="6"/>
      <c r="O27" s="2" t="s">
        <v>42</v>
      </c>
      <c r="P27" s="2">
        <v>177</v>
      </c>
      <c r="Q27">
        <v>25</v>
      </c>
      <c r="R27" s="2" t="e">
        <v>#N/A</v>
      </c>
      <c r="S27" s="2">
        <v>398</v>
      </c>
      <c r="T27">
        <v>25</v>
      </c>
    </row>
    <row r="28" spans="1:20">
      <c r="B28" s="3"/>
      <c r="C28" s="3"/>
      <c r="D28" s="4"/>
      <c r="E28" s="4"/>
      <c r="F28" s="4"/>
      <c r="G28" s="4"/>
      <c r="H28" s="4"/>
      <c r="I28" s="4"/>
      <c r="J28" s="3"/>
      <c r="K28" s="3"/>
      <c r="O28" s="2" t="s">
        <v>46</v>
      </c>
      <c r="P28" s="2">
        <v>174</v>
      </c>
      <c r="Q28">
        <v>26</v>
      </c>
      <c r="R28" s="2" t="s">
        <v>39</v>
      </c>
      <c r="S28" s="2">
        <v>393</v>
      </c>
      <c r="T28">
        <v>26</v>
      </c>
    </row>
    <row r="29" spans="1:20">
      <c r="B29" s="3"/>
      <c r="C29" s="3"/>
      <c r="D29" s="4"/>
      <c r="E29" s="4"/>
      <c r="F29" s="4"/>
      <c r="G29" s="4"/>
      <c r="H29" s="4"/>
      <c r="I29" s="4"/>
      <c r="J29" s="3"/>
      <c r="K29" s="3"/>
      <c r="O29" s="2" t="s">
        <v>48</v>
      </c>
      <c r="P29" s="2">
        <v>173</v>
      </c>
      <c r="Q29">
        <v>27</v>
      </c>
      <c r="R29" s="2" t="s">
        <v>49</v>
      </c>
      <c r="S29" s="2">
        <v>376</v>
      </c>
      <c r="T29">
        <v>27</v>
      </c>
    </row>
    <row r="30" spans="1:20">
      <c r="O30" s="2" t="s">
        <v>44</v>
      </c>
      <c r="P30" s="2">
        <v>163</v>
      </c>
      <c r="Q30">
        <v>28</v>
      </c>
      <c r="R30" s="2" t="s">
        <v>50</v>
      </c>
      <c r="S30" s="2">
        <v>372</v>
      </c>
      <c r="T30">
        <v>28</v>
      </c>
    </row>
    <row r="31" spans="1:20">
      <c r="O31" s="2" t="s">
        <v>51</v>
      </c>
      <c r="P31" s="2">
        <v>162</v>
      </c>
      <c r="Q31">
        <v>29</v>
      </c>
      <c r="R31" s="2" t="s">
        <v>51</v>
      </c>
      <c r="S31" s="2">
        <v>368</v>
      </c>
      <c r="T31">
        <v>29</v>
      </c>
    </row>
    <row r="32" spans="1:20">
      <c r="O32" s="2" t="s">
        <v>52</v>
      </c>
      <c r="P32" s="2">
        <v>159</v>
      </c>
      <c r="Q32">
        <v>30</v>
      </c>
      <c r="R32" s="2" t="s">
        <v>52</v>
      </c>
      <c r="S32" s="2">
        <v>363</v>
      </c>
      <c r="T32">
        <v>30</v>
      </c>
    </row>
    <row r="33" spans="15:20">
      <c r="O33" s="2" t="s">
        <v>50</v>
      </c>
      <c r="P33" s="2">
        <v>158</v>
      </c>
      <c r="Q33">
        <v>31</v>
      </c>
      <c r="R33" s="2" t="s">
        <v>53</v>
      </c>
      <c r="S33" s="2">
        <v>355</v>
      </c>
      <c r="T33">
        <v>31</v>
      </c>
    </row>
    <row r="34" spans="15:20">
      <c r="O34" s="2" t="s">
        <v>54</v>
      </c>
      <c r="P34" s="2">
        <v>153</v>
      </c>
      <c r="Q34">
        <v>32</v>
      </c>
      <c r="R34" s="2" t="s">
        <v>45</v>
      </c>
      <c r="S34" s="2">
        <v>350</v>
      </c>
      <c r="T34">
        <v>32</v>
      </c>
    </row>
    <row r="35" spans="15:20">
      <c r="O35" s="2" t="s">
        <v>55</v>
      </c>
      <c r="P35" s="2">
        <v>151</v>
      </c>
      <c r="Q35">
        <v>33</v>
      </c>
      <c r="R35" s="2" t="s">
        <v>41</v>
      </c>
      <c r="S35" s="2">
        <v>349</v>
      </c>
      <c r="T35">
        <v>33</v>
      </c>
    </row>
    <row r="36" spans="15:20">
      <c r="O36" s="2" t="s">
        <v>49</v>
      </c>
      <c r="P36" s="2">
        <v>150</v>
      </c>
      <c r="Q36">
        <v>34</v>
      </c>
      <c r="R36" s="2" t="s">
        <v>43</v>
      </c>
      <c r="S36" s="2">
        <v>339</v>
      </c>
      <c r="T36">
        <v>34</v>
      </c>
    </row>
    <row r="37" spans="15:20">
      <c r="O37" s="2" t="s">
        <v>56</v>
      </c>
      <c r="P37" s="2">
        <v>144</v>
      </c>
      <c r="Q37">
        <v>35</v>
      </c>
      <c r="R37" s="2" t="s">
        <v>54</v>
      </c>
      <c r="S37" s="2">
        <v>329</v>
      </c>
      <c r="T37">
        <v>35</v>
      </c>
    </row>
    <row r="38" spans="15:20">
      <c r="O38" s="2" t="s">
        <v>53</v>
      </c>
      <c r="P38" s="2">
        <v>143</v>
      </c>
      <c r="Q38">
        <v>36</v>
      </c>
      <c r="R38" s="2" t="s">
        <v>57</v>
      </c>
      <c r="S38" s="2">
        <v>328</v>
      </c>
      <c r="T38">
        <v>36</v>
      </c>
    </row>
    <row r="39" spans="15:20">
      <c r="O39" s="2" t="e">
        <v>#N/A</v>
      </c>
      <c r="P39" s="2">
        <v>135</v>
      </c>
      <c r="Q39">
        <v>37</v>
      </c>
      <c r="R39" s="2" t="s">
        <v>55</v>
      </c>
      <c r="S39" s="2">
        <v>320</v>
      </c>
      <c r="T39">
        <v>37</v>
      </c>
    </row>
    <row r="40" spans="15:20">
      <c r="O40" s="2" t="s">
        <v>58</v>
      </c>
      <c r="P40" s="2">
        <v>130</v>
      </c>
      <c r="Q40">
        <v>38</v>
      </c>
      <c r="R40" s="2" t="s">
        <v>56</v>
      </c>
      <c r="S40" s="2">
        <v>317</v>
      </c>
      <c r="T40">
        <v>38</v>
      </c>
    </row>
    <row r="41" spans="15:20">
      <c r="O41" s="2" t="s">
        <v>59</v>
      </c>
      <c r="P41" s="2">
        <v>128</v>
      </c>
      <c r="Q41">
        <v>39</v>
      </c>
      <c r="R41" s="2" t="s">
        <v>60</v>
      </c>
      <c r="S41" s="2">
        <v>314</v>
      </c>
      <c r="T41">
        <v>39</v>
      </c>
    </row>
    <row r="42" spans="15:20">
      <c r="O42" s="2" t="s">
        <v>61</v>
      </c>
      <c r="P42" s="2">
        <v>127</v>
      </c>
      <c r="Q42">
        <v>40</v>
      </c>
      <c r="R42" s="2" t="s">
        <v>48</v>
      </c>
      <c r="S42" s="2">
        <v>304</v>
      </c>
      <c r="T42">
        <v>40</v>
      </c>
    </row>
    <row r="43" spans="15:20">
      <c r="O43" s="2" t="s">
        <v>62</v>
      </c>
      <c r="P43" s="2">
        <v>123</v>
      </c>
      <c r="Q43">
        <v>41</v>
      </c>
      <c r="R43" s="2" t="s">
        <v>62</v>
      </c>
      <c r="S43" s="2">
        <v>285</v>
      </c>
      <c r="T43">
        <v>41</v>
      </c>
    </row>
    <row r="44" spans="15:20">
      <c r="O44" s="2" t="s">
        <v>60</v>
      </c>
      <c r="P44" s="2">
        <v>115</v>
      </c>
      <c r="Q44">
        <v>42</v>
      </c>
      <c r="R44" s="2" t="s">
        <v>59</v>
      </c>
      <c r="S44" s="2">
        <v>282</v>
      </c>
      <c r="T44">
        <v>42</v>
      </c>
    </row>
    <row r="45" spans="15:20">
      <c r="O45" s="2" t="s">
        <v>47</v>
      </c>
      <c r="P45" s="2">
        <v>113</v>
      </c>
      <c r="Q45">
        <v>43</v>
      </c>
      <c r="R45" s="2" t="s">
        <v>61</v>
      </c>
      <c r="S45" s="2">
        <v>279</v>
      </c>
      <c r="T45">
        <v>43</v>
      </c>
    </row>
    <row r="46" spans="15:20">
      <c r="O46" s="2" t="s">
        <v>63</v>
      </c>
      <c r="P46" s="2">
        <v>108</v>
      </c>
      <c r="Q46">
        <v>44</v>
      </c>
      <c r="R46" s="2" t="s">
        <v>64</v>
      </c>
      <c r="S46" s="2">
        <v>264</v>
      </c>
      <c r="T46">
        <v>44</v>
      </c>
    </row>
    <row r="47" spans="15:20">
      <c r="O47" s="2" t="s">
        <v>57</v>
      </c>
      <c r="P47" s="2">
        <v>104</v>
      </c>
      <c r="Q47">
        <v>45</v>
      </c>
      <c r="R47" s="2" t="s">
        <v>65</v>
      </c>
      <c r="S47" s="2">
        <v>262</v>
      </c>
      <c r="T47">
        <v>45</v>
      </c>
    </row>
    <row r="48" spans="15:20">
      <c r="O48" s="2" t="s">
        <v>66</v>
      </c>
      <c r="P48" s="2">
        <v>100</v>
      </c>
      <c r="Q48">
        <v>46</v>
      </c>
      <c r="R48" s="2" t="s">
        <v>66</v>
      </c>
      <c r="S48" s="2">
        <v>262</v>
      </c>
      <c r="T48">
        <v>46</v>
      </c>
    </row>
    <row r="49" spans="15:20">
      <c r="O49" s="2" t="s">
        <v>67</v>
      </c>
      <c r="P49" s="2">
        <v>95</v>
      </c>
      <c r="Q49">
        <v>47</v>
      </c>
      <c r="R49" s="2" t="s">
        <v>58</v>
      </c>
      <c r="S49" s="2">
        <v>257</v>
      </c>
      <c r="T49">
        <v>47</v>
      </c>
    </row>
    <row r="50" spans="15:20">
      <c r="O50" s="2" t="s">
        <v>68</v>
      </c>
      <c r="P50" s="2">
        <v>87</v>
      </c>
      <c r="Q50">
        <v>48</v>
      </c>
      <c r="R50" s="2" t="s">
        <v>63</v>
      </c>
      <c r="S50" s="2">
        <v>254</v>
      </c>
      <c r="T50">
        <v>48</v>
      </c>
    </row>
    <row r="51" spans="15:20">
      <c r="O51" s="2" t="s">
        <v>69</v>
      </c>
      <c r="P51" s="2">
        <v>86</v>
      </c>
      <c r="Q51">
        <v>49</v>
      </c>
      <c r="R51" s="2" t="s">
        <v>70</v>
      </c>
      <c r="S51" s="2">
        <v>212</v>
      </c>
      <c r="T51">
        <v>49</v>
      </c>
    </row>
    <row r="52" spans="15:20">
      <c r="O52" s="2" t="s">
        <v>64</v>
      </c>
      <c r="P52" s="2">
        <v>80</v>
      </c>
      <c r="Q52">
        <v>50</v>
      </c>
      <c r="R52" s="2" t="s">
        <v>69</v>
      </c>
      <c r="S52" s="2">
        <v>195</v>
      </c>
      <c r="T52">
        <v>50</v>
      </c>
    </row>
    <row r="53" spans="15:20">
      <c r="O53" s="2" t="s">
        <v>71</v>
      </c>
      <c r="P53" s="2">
        <v>77</v>
      </c>
      <c r="Q53">
        <v>51</v>
      </c>
      <c r="R53" s="2" t="s">
        <v>72</v>
      </c>
      <c r="S53" s="2">
        <v>177</v>
      </c>
      <c r="T53">
        <v>51</v>
      </c>
    </row>
    <row r="54" spans="15:20">
      <c r="O54" s="2" t="s">
        <v>73</v>
      </c>
      <c r="P54" s="2">
        <v>71</v>
      </c>
      <c r="Q54">
        <v>52</v>
      </c>
      <c r="R54" s="2" t="s">
        <v>68</v>
      </c>
      <c r="S54" s="2">
        <v>176</v>
      </c>
      <c r="T54">
        <v>52</v>
      </c>
    </row>
    <row r="55" spans="15:20">
      <c r="O55" s="2" t="s">
        <v>74</v>
      </c>
      <c r="P55" s="2">
        <v>71</v>
      </c>
      <c r="Q55">
        <v>53</v>
      </c>
      <c r="R55" s="2" t="s">
        <v>73</v>
      </c>
      <c r="S55" s="2">
        <v>162</v>
      </c>
      <c r="T55">
        <v>53</v>
      </c>
    </row>
    <row r="56" spans="15:20">
      <c r="O56" s="2" t="s">
        <v>72</v>
      </c>
      <c r="P56" s="2">
        <v>70</v>
      </c>
      <c r="Q56">
        <v>54</v>
      </c>
      <c r="R56" s="2" t="s">
        <v>75</v>
      </c>
      <c r="S56" s="2">
        <v>155</v>
      </c>
      <c r="T56">
        <v>54</v>
      </c>
    </row>
    <row r="57" spans="15:20">
      <c r="O57" s="2" t="s">
        <v>76</v>
      </c>
      <c r="P57" s="2">
        <v>70</v>
      </c>
      <c r="Q57">
        <v>55</v>
      </c>
      <c r="R57" s="2" t="s">
        <v>76</v>
      </c>
      <c r="S57" s="2">
        <v>155</v>
      </c>
      <c r="T57">
        <v>55</v>
      </c>
    </row>
    <row r="58" spans="15:20">
      <c r="O58" s="2" t="s">
        <v>70</v>
      </c>
      <c r="P58" s="2">
        <v>65</v>
      </c>
      <c r="Q58">
        <v>56</v>
      </c>
      <c r="R58" s="2" t="s">
        <v>77</v>
      </c>
      <c r="S58" s="2">
        <v>153</v>
      </c>
      <c r="T58">
        <v>56</v>
      </c>
    </row>
    <row r="59" spans="15:20">
      <c r="O59" s="2" t="s">
        <v>77</v>
      </c>
      <c r="P59" s="2">
        <v>65</v>
      </c>
      <c r="Q59">
        <v>57</v>
      </c>
      <c r="R59" s="2" t="s">
        <v>67</v>
      </c>
      <c r="S59" s="2">
        <v>151</v>
      </c>
      <c r="T59">
        <v>57</v>
      </c>
    </row>
    <row r="60" spans="15:20">
      <c r="O60" s="2" t="s">
        <v>78</v>
      </c>
      <c r="P60" s="2">
        <v>58</v>
      </c>
      <c r="Q60">
        <v>58</v>
      </c>
      <c r="R60" s="2" t="s">
        <v>78</v>
      </c>
      <c r="S60" s="2">
        <v>148</v>
      </c>
      <c r="T60">
        <v>58</v>
      </c>
    </row>
    <row r="61" spans="15:20">
      <c r="O61" s="2" t="s">
        <v>65</v>
      </c>
      <c r="P61" s="2">
        <v>56</v>
      </c>
      <c r="Q61">
        <v>59</v>
      </c>
      <c r="R61" s="2" t="s">
        <v>71</v>
      </c>
      <c r="S61" s="2">
        <v>144</v>
      </c>
      <c r="T61">
        <v>59</v>
      </c>
    </row>
    <row r="62" spans="15:20">
      <c r="O62" s="2" t="s">
        <v>79</v>
      </c>
      <c r="P62" s="2">
        <v>52</v>
      </c>
      <c r="Q62">
        <v>60</v>
      </c>
      <c r="R62" s="2" t="s">
        <v>74</v>
      </c>
      <c r="S62" s="2">
        <v>127</v>
      </c>
      <c r="T62">
        <v>60</v>
      </c>
    </row>
    <row r="63" spans="15:20">
      <c r="O63" s="2" t="s">
        <v>80</v>
      </c>
      <c r="P63" s="2">
        <v>51</v>
      </c>
      <c r="Q63">
        <v>61</v>
      </c>
      <c r="R63" s="2" t="s">
        <v>79</v>
      </c>
      <c r="S63" s="2">
        <v>126</v>
      </c>
      <c r="T63">
        <v>61</v>
      </c>
    </row>
    <row r="64" spans="15:20">
      <c r="O64" s="2" t="s">
        <v>81</v>
      </c>
      <c r="P64" s="2">
        <v>48</v>
      </c>
      <c r="Q64">
        <v>62</v>
      </c>
      <c r="R64" s="2" t="s">
        <v>82</v>
      </c>
      <c r="S64" s="2">
        <v>119</v>
      </c>
      <c r="T64">
        <v>62</v>
      </c>
    </row>
    <row r="65" spans="15:20">
      <c r="O65" s="2" t="s">
        <v>75</v>
      </c>
      <c r="P65" s="2">
        <v>45</v>
      </c>
      <c r="Q65">
        <v>63</v>
      </c>
      <c r="R65" s="2" t="s">
        <v>83</v>
      </c>
      <c r="S65" s="2">
        <v>115</v>
      </c>
      <c r="T65">
        <v>63</v>
      </c>
    </row>
    <row r="66" spans="15:20">
      <c r="O66" s="2" t="s">
        <v>84</v>
      </c>
      <c r="P66" s="2">
        <v>42</v>
      </c>
      <c r="Q66">
        <v>64</v>
      </c>
      <c r="R66" s="2" t="s">
        <v>80</v>
      </c>
      <c r="S66" s="2">
        <v>104</v>
      </c>
      <c r="T66">
        <v>64</v>
      </c>
    </row>
    <row r="67" spans="15:20">
      <c r="O67" s="2" t="s">
        <v>82</v>
      </c>
      <c r="P67" s="2">
        <v>41</v>
      </c>
      <c r="Q67">
        <v>65</v>
      </c>
      <c r="R67" s="2" t="s">
        <v>85</v>
      </c>
      <c r="S67" s="2">
        <v>104</v>
      </c>
      <c r="T67">
        <v>65</v>
      </c>
    </row>
    <row r="68" spans="15:20">
      <c r="O68" s="2" t="s">
        <v>86</v>
      </c>
      <c r="P68" s="2">
        <v>37</v>
      </c>
      <c r="Q68">
        <v>66</v>
      </c>
      <c r="R68" s="2" t="s">
        <v>87</v>
      </c>
      <c r="S68" s="2">
        <v>96</v>
      </c>
      <c r="T68">
        <v>66</v>
      </c>
    </row>
    <row r="69" spans="15:20">
      <c r="O69" s="2" t="s">
        <v>87</v>
      </c>
      <c r="P69" s="2">
        <v>37</v>
      </c>
      <c r="Q69">
        <v>67</v>
      </c>
      <c r="R69" s="2" t="s">
        <v>88</v>
      </c>
      <c r="S69" s="2">
        <v>95</v>
      </c>
      <c r="T69">
        <v>67</v>
      </c>
    </row>
    <row r="70" spans="15:20">
      <c r="O70" s="2" t="s">
        <v>83</v>
      </c>
      <c r="P70" s="2">
        <v>36</v>
      </c>
      <c r="Q70">
        <v>68</v>
      </c>
      <c r="R70" s="2" t="s">
        <v>89</v>
      </c>
      <c r="S70" s="2">
        <v>94</v>
      </c>
      <c r="T70">
        <v>68</v>
      </c>
    </row>
    <row r="71" spans="15:20">
      <c r="O71" s="2" t="s">
        <v>90</v>
      </c>
      <c r="P71" s="2">
        <v>33</v>
      </c>
      <c r="Q71">
        <v>69</v>
      </c>
      <c r="R71" s="2" t="s">
        <v>81</v>
      </c>
      <c r="S71" s="2">
        <v>94</v>
      </c>
      <c r="T71">
        <v>69</v>
      </c>
    </row>
    <row r="72" spans="15:20">
      <c r="O72" s="2" t="s">
        <v>91</v>
      </c>
      <c r="P72" s="2">
        <v>31</v>
      </c>
      <c r="Q72">
        <v>70</v>
      </c>
      <c r="R72" s="2" t="s">
        <v>92</v>
      </c>
      <c r="S72" s="2">
        <v>85</v>
      </c>
      <c r="T72">
        <v>70</v>
      </c>
    </row>
    <row r="73" spans="15:20">
      <c r="O73" s="2" t="s">
        <v>92</v>
      </c>
      <c r="P73" s="2">
        <v>31</v>
      </c>
      <c r="Q73">
        <v>71</v>
      </c>
      <c r="R73" s="2" t="s">
        <v>91</v>
      </c>
      <c r="S73" s="2">
        <v>81</v>
      </c>
      <c r="T73">
        <v>71</v>
      </c>
    </row>
    <row r="74" spans="15:20">
      <c r="O74" s="2" t="s">
        <v>85</v>
      </c>
      <c r="P74" s="2">
        <v>30</v>
      </c>
      <c r="Q74">
        <v>72</v>
      </c>
      <c r="R74" s="2" t="s">
        <v>90</v>
      </c>
      <c r="S74" s="2">
        <v>81</v>
      </c>
      <c r="T74">
        <v>72</v>
      </c>
    </row>
    <row r="75" spans="15:20">
      <c r="O75" s="2" t="s">
        <v>93</v>
      </c>
      <c r="P75" s="2">
        <v>25</v>
      </c>
      <c r="Q75">
        <v>73</v>
      </c>
      <c r="R75" s="2" t="s">
        <v>94</v>
      </c>
      <c r="S75" s="2">
        <v>79</v>
      </c>
      <c r="T75">
        <v>73</v>
      </c>
    </row>
    <row r="76" spans="15:20">
      <c r="O76" s="2" t="s">
        <v>95</v>
      </c>
      <c r="P76" s="2">
        <v>25</v>
      </c>
      <c r="Q76">
        <v>74</v>
      </c>
      <c r="R76" s="2" t="s">
        <v>96</v>
      </c>
      <c r="S76" s="2">
        <v>74</v>
      </c>
      <c r="T76">
        <v>74</v>
      </c>
    </row>
    <row r="77" spans="15:20">
      <c r="O77" s="2" t="s">
        <v>96</v>
      </c>
      <c r="P77" s="2">
        <v>24</v>
      </c>
      <c r="Q77">
        <v>75</v>
      </c>
      <c r="R77" s="2" t="s">
        <v>97</v>
      </c>
      <c r="S77" s="2">
        <v>74</v>
      </c>
      <c r="T77">
        <v>75</v>
      </c>
    </row>
    <row r="78" spans="15:20">
      <c r="O78" s="2" t="s">
        <v>98</v>
      </c>
      <c r="P78" s="2">
        <v>24</v>
      </c>
      <c r="Q78">
        <v>76</v>
      </c>
      <c r="R78" s="2" t="s">
        <v>93</v>
      </c>
      <c r="S78" s="2">
        <v>70</v>
      </c>
      <c r="T78">
        <v>76</v>
      </c>
    </row>
    <row r="79" spans="15:20">
      <c r="O79" s="2" t="s">
        <v>97</v>
      </c>
      <c r="P79" s="2">
        <v>22</v>
      </c>
      <c r="Q79">
        <v>77</v>
      </c>
      <c r="R79" s="2" t="s">
        <v>99</v>
      </c>
      <c r="S79" s="2">
        <v>68</v>
      </c>
      <c r="T79">
        <v>77</v>
      </c>
    </row>
    <row r="80" spans="15:20">
      <c r="O80" s="2" t="s">
        <v>100</v>
      </c>
      <c r="P80" s="2">
        <v>21</v>
      </c>
      <c r="Q80">
        <v>78</v>
      </c>
      <c r="R80" s="2" t="s">
        <v>86</v>
      </c>
      <c r="S80" s="2">
        <v>66</v>
      </c>
      <c r="T80">
        <v>78</v>
      </c>
    </row>
    <row r="81" spans="15:20">
      <c r="O81" s="2" t="s">
        <v>94</v>
      </c>
      <c r="P81" s="2">
        <v>20</v>
      </c>
      <c r="Q81">
        <v>79</v>
      </c>
      <c r="R81" s="2" t="s">
        <v>101</v>
      </c>
      <c r="S81" s="2">
        <v>57</v>
      </c>
      <c r="T81">
        <v>79</v>
      </c>
    </row>
    <row r="82" spans="15:20">
      <c r="O82" s="2" t="s">
        <v>88</v>
      </c>
      <c r="P82" s="2">
        <v>20</v>
      </c>
      <c r="Q82">
        <v>80</v>
      </c>
      <c r="R82" s="2" t="s">
        <v>84</v>
      </c>
      <c r="S82" s="2">
        <v>56</v>
      </c>
      <c r="T82">
        <v>80</v>
      </c>
    </row>
    <row r="83" spans="15:20">
      <c r="O83" s="2" t="s">
        <v>102</v>
      </c>
      <c r="P83" s="2">
        <v>12</v>
      </c>
      <c r="Q83">
        <v>81</v>
      </c>
      <c r="R83" s="2" t="s">
        <v>98</v>
      </c>
      <c r="S83" s="2">
        <v>52</v>
      </c>
      <c r="T83">
        <v>81</v>
      </c>
    </row>
    <row r="84" spans="15:20">
      <c r="O84" s="2" t="s">
        <v>99</v>
      </c>
      <c r="P84" s="2">
        <v>10</v>
      </c>
      <c r="Q84">
        <v>82</v>
      </c>
      <c r="R84" s="2" t="s">
        <v>95</v>
      </c>
      <c r="S84" s="2">
        <v>48</v>
      </c>
      <c r="T84">
        <v>82</v>
      </c>
    </row>
    <row r="85" spans="15:20">
      <c r="O85" s="2" t="s">
        <v>101</v>
      </c>
      <c r="P85" s="2">
        <v>7</v>
      </c>
      <c r="Q85">
        <v>83</v>
      </c>
      <c r="R85" s="2" t="s">
        <v>102</v>
      </c>
      <c r="S85" s="2">
        <v>33</v>
      </c>
      <c r="T85">
        <v>83</v>
      </c>
    </row>
    <row r="86" spans="15:20">
      <c r="O86" s="2" t="s">
        <v>89</v>
      </c>
      <c r="P86" s="2">
        <v>7</v>
      </c>
      <c r="Q86">
        <v>84</v>
      </c>
      <c r="R86" s="2" t="s">
        <v>100</v>
      </c>
      <c r="S86" s="2">
        <v>29</v>
      </c>
      <c r="T86">
        <v>84</v>
      </c>
    </row>
    <row r="87" spans="15:20">
      <c r="O87" s="2" t="s">
        <v>103</v>
      </c>
      <c r="P87" s="2">
        <v>7</v>
      </c>
      <c r="Q87">
        <v>85</v>
      </c>
      <c r="R87" s="2" t="s">
        <v>103</v>
      </c>
      <c r="S87" s="2">
        <v>16</v>
      </c>
      <c r="T87">
        <v>85</v>
      </c>
    </row>
    <row r="88" spans="15:20">
      <c r="O88" s="2" t="s">
        <v>104</v>
      </c>
      <c r="P88" s="2">
        <v>6</v>
      </c>
      <c r="Q88">
        <v>86</v>
      </c>
      <c r="R88" s="2" t="s">
        <v>105</v>
      </c>
      <c r="S88" s="2">
        <v>12</v>
      </c>
      <c r="T88">
        <v>86</v>
      </c>
    </row>
    <row r="89" spans="15:20">
      <c r="O89" s="2" t="s">
        <v>106</v>
      </c>
      <c r="P89" s="2">
        <v>4</v>
      </c>
      <c r="Q89">
        <v>87</v>
      </c>
      <c r="R89" s="2" t="s">
        <v>104</v>
      </c>
      <c r="S89" s="2">
        <v>10</v>
      </c>
      <c r="T89">
        <v>87</v>
      </c>
    </row>
    <row r="90" spans="15:20">
      <c r="O90" s="2" t="s">
        <v>105</v>
      </c>
      <c r="P90" s="2">
        <v>2</v>
      </c>
      <c r="Q90">
        <v>88</v>
      </c>
      <c r="R90" s="2" t="s">
        <v>106</v>
      </c>
      <c r="S90" s="2">
        <v>8</v>
      </c>
      <c r="T90">
        <v>88</v>
      </c>
    </row>
    <row r="91" spans="15:20">
      <c r="O91" s="2" t="s">
        <v>107</v>
      </c>
      <c r="P91" s="2">
        <v>2</v>
      </c>
      <c r="Q91">
        <v>89</v>
      </c>
      <c r="R91" s="2" t="s">
        <v>108</v>
      </c>
      <c r="S91" s="2">
        <v>7</v>
      </c>
      <c r="T91">
        <v>89</v>
      </c>
    </row>
    <row r="92" spans="15:20">
      <c r="O92" s="2" t="s">
        <v>109</v>
      </c>
      <c r="P92" s="2">
        <v>2</v>
      </c>
      <c r="Q92">
        <v>90</v>
      </c>
      <c r="R92" s="2" t="s">
        <v>110</v>
      </c>
      <c r="S92" s="2">
        <v>7</v>
      </c>
      <c r="T92">
        <v>90</v>
      </c>
    </row>
    <row r="93" spans="15:20">
      <c r="O93" s="2" t="s">
        <v>108</v>
      </c>
      <c r="P93" s="2">
        <v>1</v>
      </c>
      <c r="Q93">
        <v>91</v>
      </c>
      <c r="R93" s="2" t="s">
        <v>111</v>
      </c>
      <c r="S93" s="2">
        <v>4</v>
      </c>
      <c r="T93">
        <v>91</v>
      </c>
    </row>
    <row r="94" spans="15:20">
      <c r="O94" s="2" t="s">
        <v>110</v>
      </c>
      <c r="P94" s="2">
        <v>1</v>
      </c>
      <c r="Q94">
        <v>92</v>
      </c>
      <c r="R94" s="2" t="s">
        <v>109</v>
      </c>
      <c r="S94" s="2">
        <v>4</v>
      </c>
      <c r="T94">
        <v>92</v>
      </c>
    </row>
    <row r="95" spans="15:20">
      <c r="O95" s="2" t="s">
        <v>111</v>
      </c>
      <c r="P95" s="2">
        <v>1</v>
      </c>
      <c r="Q95">
        <v>93</v>
      </c>
      <c r="R95" s="2" t="s">
        <v>112</v>
      </c>
      <c r="S95" s="2">
        <v>4</v>
      </c>
      <c r="T95">
        <v>93</v>
      </c>
    </row>
    <row r="96" spans="15:20">
      <c r="R96" s="2" t="s">
        <v>107</v>
      </c>
      <c r="S96" s="2">
        <v>1</v>
      </c>
      <c r="T96">
        <v>94</v>
      </c>
    </row>
  </sheetData>
  <mergeCells count="15">
    <mergeCell ref="J1:K1"/>
    <mergeCell ref="O1:Q1"/>
    <mergeCell ref="R1:T1"/>
    <mergeCell ref="B1:B2"/>
    <mergeCell ref="B25:B26"/>
    <mergeCell ref="C1:C2"/>
    <mergeCell ref="C25:C26"/>
    <mergeCell ref="D1:D2"/>
    <mergeCell ref="E1:E2"/>
    <mergeCell ref="E25:E26"/>
    <mergeCell ref="F1:F2"/>
    <mergeCell ref="G1:G2"/>
    <mergeCell ref="H1:H2"/>
    <mergeCell ref="I1:I2"/>
    <mergeCell ref="J25:K26"/>
  </mergeCells>
  <pageMargins left="0.75" right="0.75" top="1" bottom="1" header="0.511805555555556" footer="0.511805555555556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6"/>
  <sheetData/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6"/>
  <sheetData/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王国盛</cp:lastModifiedBy>
  <dcterms:created xsi:type="dcterms:W3CDTF">2021-11-19T13:26:00Z</dcterms:created>
  <dcterms:modified xsi:type="dcterms:W3CDTF">2026-05-28T14:58:30Z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F21E6673068D46D089A02D1254BB8295_13</vt:lpwstr>
  </property>
  <property fmtid="{D5CDD505-2E9C-101B-9397-08002B2CF9AE}" pid="4" name="CalculationRule">
    <vt:i4>0</vt:i4>
  </property>
</Properties>
</file>