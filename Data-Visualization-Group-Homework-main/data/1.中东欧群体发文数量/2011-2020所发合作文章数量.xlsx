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<sst xmlns="http://schemas.openxmlformats.org/spreadsheetml/2006/main" count="6" uniqueCount="6">
  <si>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中东欧</t>
  </si>
  <si>
    <t>我国国合总体</t>
  </si>
  <si>
    <t>中东欧占比</t>
  </si>
  <si>
    <t>2011-2015</t>
  </si>
  <si>
    <t>2016-2020</t>
  </si>
  <si>
    <t>2011-2020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</si>
</sst>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D2" sqref="D2"/>
    </sheetView>
  </sheetViews>
  <sheetFormatPr defaultColWidth="9" defaultRowHeight="14.4" outlineLevelCol="4"/>
  <cols>
    <col min="1" max="1" width="11.8796296296296" style="2" customWidth="1"/>
    <col min="2" max="2" width="9" style="2"/>
    <col min="3" max="3" width="13.5" style="2" customWidth="1"/>
    <col min="4" max="4" width="12.6296296296296" style="3"/>
  </cols>
  <sheetData>
    <row r="1" spans="1:5">
      <c r="B1" s="2" t="s">
        <v>0</v>
      </c>
      <c r="C1" s="2" t="s">
        <v>1</v>
      </c>
      <c r="D1" s="3" t="s">
        <v>2</v>
      </c>
    </row>
    <row r="2" spans="1:5">
      <c r="A2" s="4">
        <v>2011</v>
      </c>
      <c r="B2" s="2">
        <v>1046</v>
      </c>
      <c r="C2" s="5">
        <v>42487</v>
      </c>
      <c r="D2" s="6">
        <f>B2/C2*100</f>
        <v>2.46192953138607</v>
      </c>
      <c r="E2" s="4"/>
    </row>
    <row r="3" spans="1:5">
      <c r="A3" s="4">
        <v>2012</v>
      </c>
      <c r="B3" s="5">
        <v>1367</v>
      </c>
      <c r="C3" s="5">
        <v>48536</v>
      </c>
      <c r="D3" s="6">
        <f t="shared" ref="D3:D16" si="0">B3/C3*100</f>
        <v>2.81646612823471</v>
      </c>
      <c r="E3" s="4"/>
    </row>
    <row r="4" spans="1:5">
      <c r="A4" s="4">
        <v>2013</v>
      </c>
      <c r="B4" s="5">
        <v>1610</v>
      </c>
      <c r="C4" s="5">
        <v>57879</v>
      </c>
      <c r="D4" s="6">
        <f t="shared" si="0"/>
        <v>2.78166519808566</v>
      </c>
      <c r="E4" s="4"/>
    </row>
    <row r="5" spans="1:5">
      <c r="A5" s="4">
        <v>2014</v>
      </c>
      <c r="B5" s="5">
        <v>1843</v>
      </c>
      <c r="C5" s="5">
        <v>68646</v>
      </c>
      <c r="D5" s="6">
        <f t="shared" si="0"/>
        <v>2.68478862570288</v>
      </c>
      <c r="E5" s="4"/>
    </row>
    <row r="6" spans="1:5">
      <c r="A6" s="4">
        <v>2015</v>
      </c>
      <c r="B6" s="5">
        <v>2111</v>
      </c>
      <c r="C6" s="5">
        <v>79401</v>
      </c>
      <c r="D6" s="6">
        <f t="shared" si="0"/>
        <v>2.65865669198121</v>
      </c>
      <c r="E6" s="4"/>
    </row>
    <row r="7" spans="1:5">
      <c r="A7" s="4">
        <v>2016</v>
      </c>
      <c r="B7" s="5">
        <v>2533</v>
      </c>
      <c r="C7" s="5">
        <v>91862</v>
      </c>
      <c r="D7" s="6">
        <f t="shared" si="0"/>
        <v>2.75739696501274</v>
      </c>
      <c r="E7" s="4"/>
    </row>
    <row r="8" spans="1:5">
      <c r="A8" s="4">
        <v>2017</v>
      </c>
      <c r="B8" s="5">
        <v>2782</v>
      </c>
      <c r="C8" s="5">
        <v>104021</v>
      </c>
      <c r="D8" s="6">
        <f t="shared" si="0"/>
        <v>2.6744599648148</v>
      </c>
      <c r="E8" s="4"/>
    </row>
    <row r="9" spans="1:5">
      <c r="A9" s="4">
        <v>2018</v>
      </c>
      <c r="B9" s="5">
        <v>3342</v>
      </c>
      <c r="C9" s="5">
        <v>119825</v>
      </c>
      <c r="D9" s="6">
        <f t="shared" si="0"/>
        <v>2.78906738994367</v>
      </c>
      <c r="E9" s="4"/>
    </row>
    <row r="10" spans="1:5">
      <c r="A10" s="4">
        <v>2019</v>
      </c>
      <c r="B10" s="5">
        <v>4260</v>
      </c>
      <c r="C10" s="5">
        <v>141889</v>
      </c>
      <c r="D10" s="6">
        <f t="shared" si="0"/>
        <v>3.00234690497502</v>
      </c>
      <c r="E10" s="4"/>
    </row>
    <row r="11" spans="1:5">
      <c r="A11" s="4">
        <v>2020</v>
      </c>
      <c r="B11" s="5">
        <v>4791</v>
      </c>
      <c r="C11" s="5">
        <v>151785</v>
      </c>
      <c r="D11" s="6">
        <f t="shared" si="0"/>
        <v>3.15643838323945</v>
      </c>
      <c r="E11" s="4"/>
    </row>
    <row r="12" spans="1:5">
      <c r="D12" s="6"/>
    </row>
    <row r="13" spans="1:5">
      <c r="D13" s="6"/>
    </row>
    <row r="14" spans="1:5">
      <c r="A14" s="2" t="s">
        <v>3</v>
      </c>
      <c r="B14" s="5">
        <v>7977</v>
      </c>
      <c r="C14" s="2">
        <f>SUM(C2:C6)</f>
        <v>296949</v>
      </c>
      <c r="D14" s="6">
        <f t="shared" si="0"/>
        <v>2.68631987310952</v>
      </c>
    </row>
    <row r="15" spans="1:5">
      <c r="A15" s="2" t="s">
        <v>4</v>
      </c>
      <c r="B15" s="5">
        <v>17708</v>
      </c>
      <c r="C15" s="2">
        <f>SUM(C7:C11)</f>
        <v>609382</v>
      </c>
      <c r="D15" s="6">
        <f t="shared" si="0"/>
        <v>2.90589482459278</v>
      </c>
    </row>
    <row r="16" spans="1:5">
      <c r="A16" s="2" t="s">
        <v>5</v>
      </c>
      <c r="B16" s="5">
        <v>25685</v>
      </c>
      <c r="C16" s="2">
        <f>SUM(C2:C11)</f>
        <v>906331</v>
      </c>
      <c r="D16" s="6">
        <f t="shared" si="0"/>
        <v>2.83395359973343</v>
      </c>
    </row>
    <row r="19" s="1" customFormat="1" spans="3:4">
      <c r="C19" s="4"/>
      <c r="D19" s="7"/>
    </row>
    <row r="20" s="1" customFormat="1" spans="3:4">
      <c r="C20" s="4"/>
      <c r="D20" s="7"/>
    </row>
    <row r="21" s="1" customFormat="1" spans="3:4">
      <c r="C21" s="4"/>
      <c r="D21" s="7"/>
    </row>
    <row r="22" s="1" customFormat="1" spans="3:4">
      <c r="C22" s="4"/>
      <c r="D22" s="7"/>
    </row>
    <row r="23" s="1" customFormat="1" spans="3:4">
      <c r="C23" s="4"/>
      <c r="D23" s="7"/>
    </row>
    <row r="24" s="1" customFormat="1" spans="3:4">
      <c r="C24" s="4"/>
      <c r="D24" s="7"/>
    </row>
    <row r="25" s="1" customFormat="1" spans="3:4">
      <c r="C25" s="4"/>
      <c r="D25" s="7"/>
    </row>
    <row r="26" s="1" customFormat="1" spans="3:4">
      <c r="C26" s="4"/>
      <c r="D26" s="7"/>
    </row>
    <row r="27" s="1" customFormat="1" spans="3:4">
      <c r="C27" s="4"/>
      <c r="D27" s="7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王国盛</cp:lastModifiedBy>
  <dcterms:created xsi:type="dcterms:W3CDTF">2006-09-13T11:21:00Z</dcterms:created>
  <dcterms:modified xsi:type="dcterms:W3CDTF">2026-05-28T13:33:12Z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A0F8C83E7DF546A0A10F3E1F46318255_12</vt:lpwstr>
  </property>
  <property fmtid="{D5CDD505-2E9C-101B-9397-08002B2CF9AE}" pid="4" name="CalculationRule">
    <vt:i4>0</vt:i4>
  </property>
</Properties>
</file>