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<sst xmlns="http://schemas.openxmlformats.org/spreadsheetml/2006/main" count="50" uniqueCount="49">
  <si>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135发文量</t>
  </si>
  <si>
    <t>占比</t>
  </si>
  <si>
    <t>135排位</t>
  </si>
  <si>
    <t>125发文量</t>
  </si>
  <si>
    <t>125排位</t>
  </si>
  <si>
    <t>增长率</t>
  </si>
  <si>
    <t>位次变化</t>
  </si>
  <si>
    <t>波兰</t>
  </si>
  <si>
    <t>捷克</t>
  </si>
  <si>
    <t>希腊</t>
  </si>
  <si>
    <t>匈牙利</t>
  </si>
  <si>
    <t>罗马尼亚</t>
  </si>
  <si>
    <t>塞尔维亚</t>
  </si>
  <si>
    <t>斯洛文尼亚</t>
  </si>
  <si>
    <t>斯洛伐克</t>
  </si>
  <si>
    <t>克罗地亚</t>
  </si>
  <si>
    <t>保加利亚</t>
  </si>
  <si>
    <t>爱沙尼亚</t>
  </si>
  <si>
    <t>拉脱维亚</t>
  </si>
  <si>
    <t>马其顿</t>
  </si>
  <si>
    <t>黑山</t>
  </si>
  <si>
    <t>波黑</t>
  </si>
  <si>
    <t>阿尔巴尼亚</t>
  </si>
  <si>
    <t>中东欧</t>
  </si>
  <si>
    <t>发文量</t>
  </si>
  <si>
    <t>中东欧合作</t>
  </si>
  <si>
    <t>我国合作</t>
  </si>
  <si>
    <r>
      <rPr>
        <b/>
        <sz val="10.5"/>
        <color rgb="FF000000"/>
        <rFont val="Times New Roman"/>
        <charset val="134"/>
      </rPr>
      <t>对比2011-2015</t>
    </r>
    <r>
      <rPr>
        <b/>
        <sz val="10.5"/>
        <color rgb="FF000000"/>
        <rFont val="宋体"/>
        <charset val="134"/>
      </rPr>
      <t>年</t>
    </r>
  </si>
  <si>
    <t>合作国家</t>
  </si>
  <si>
    <t>（篇）</t>
  </si>
  <si>
    <r>
      <rPr>
        <b/>
        <sz val="10.5"/>
        <color rgb="FF000000"/>
        <rFont val="宋体"/>
        <charset val="134"/>
      </rPr>
      <t>发文总量</t>
    </r>
    <r>
      <rPr>
        <b/>
        <sz val="10.5"/>
        <color rgb="FF000000"/>
        <rFont val="Times New Roman"/>
        <charset val="134"/>
      </rPr>
      <t>占比</t>
    </r>
  </si>
  <si>
    <r>
      <rPr>
        <b/>
        <sz val="10.5"/>
        <color rgb="FF000000"/>
        <rFont val="宋体"/>
        <charset val="134"/>
      </rPr>
      <t>国家</t>
    </r>
    <r>
      <rPr>
        <b/>
        <sz val="10.5"/>
        <color rgb="FF000000"/>
        <rFont val="Times New Roman"/>
        <charset val="134"/>
      </rPr>
      <t>排位</t>
    </r>
  </si>
  <si>
    <r>
      <rPr>
        <b/>
        <sz val="10.5"/>
        <color rgb="FF000000"/>
        <rFont val="宋体"/>
        <charset val="134"/>
      </rPr>
      <t>位次</t>
    </r>
    <r>
      <rPr>
        <b/>
        <sz val="10.5"/>
        <color rgb="FF000000"/>
        <rFont val="Times New Roman"/>
        <charset val="134"/>
      </rPr>
      <t>变化</t>
    </r>
  </si>
  <si>
    <r>
      <rPr>
        <sz val="11"/>
        <color rgb="FFFF0000"/>
        <rFont val="宋体"/>
        <charset val="134"/>
      </rPr>
      <t>波兰</t>
    </r>
  </si>
  <si>
    <r>
      <rPr>
        <sz val="11"/>
        <color rgb="FFFF0000"/>
        <rFont val="宋体"/>
        <charset val="134"/>
      </rPr>
      <t>捷克</t>
    </r>
  </si>
  <si>
    <r>
      <rPr>
        <sz val="11"/>
        <color rgb="FFFF0000"/>
        <rFont val="宋体"/>
        <charset val="134"/>
      </rPr>
      <t>希腊</t>
    </r>
  </si>
  <si>
    <r>
      <rPr>
        <sz val="11"/>
        <color rgb="FFFF0000"/>
        <rFont val="宋体"/>
        <charset val="134"/>
      </rPr>
      <t>匈牙利</t>
    </r>
  </si>
  <si>
    <r>
      <rPr>
        <sz val="11"/>
        <color rgb="FFFF0000"/>
        <rFont val="宋体"/>
        <charset val="134"/>
      </rPr>
      <t>罗马尼亚</t>
    </r>
  </si>
  <si>
    <r>
      <rPr>
        <sz val="11"/>
        <color rgb="FF00B050"/>
        <rFont val="宋体"/>
        <charset val="134"/>
      </rPr>
      <t>塞尔维亚</t>
    </r>
  </si>
  <si>
    <r>
      <rPr>
        <sz val="11"/>
        <color rgb="FF00B050"/>
        <rFont val="宋体"/>
        <charset val="134"/>
      </rPr>
      <t>斯洛文尼亚</t>
    </r>
  </si>
  <si>
    <r>
      <rPr>
        <sz val="11"/>
        <color rgb="FF00B050"/>
        <rFont val="宋体"/>
        <charset val="134"/>
      </rPr>
      <t>斯洛伐克</t>
    </r>
  </si>
  <si>
    <r>
      <rPr>
        <sz val="11"/>
        <color rgb="FF00B050"/>
        <rFont val="宋体"/>
        <charset val="134"/>
      </rPr>
      <t>克罗地亚</t>
    </r>
  </si>
  <si>
    <r>
      <rPr>
        <sz val="11"/>
        <color rgb="FF00B050"/>
        <rFont val="宋体"/>
        <charset val="134"/>
      </rPr>
      <t>保加利亚</t>
    </r>
  </si>
  <si>
    <r>
      <rPr>
        <sz val="11"/>
        <color rgb="FF00B050"/>
        <rFont val="宋体"/>
        <charset val="134"/>
      </rPr>
      <t>爱沙尼亚</t>
    </r>
  </si>
  <si>
    <r>
      <rPr>
        <sz val="11"/>
        <color theme="1"/>
        <rFont val="宋体"/>
        <charset val="134"/>
      </rPr>
      <t>拉脱维亚</t>
    </r>
  </si>
  <si>
    <r>
      <rPr>
        <sz val="11"/>
        <color theme="1"/>
        <rFont val="宋体"/>
        <charset val="134"/>
      </rPr>
      <t>马其顿</t>
    </r>
  </si>
  <si>
    <r>
      <rPr>
        <sz val="11"/>
        <color theme="1"/>
        <rFont val="宋体"/>
        <charset val="134"/>
      </rPr>
      <t>黑山</t>
    </r>
  </si>
  <si>
    <r>
      <rPr>
        <sz val="11"/>
        <color theme="1"/>
        <rFont val="宋体"/>
        <charset val="134"/>
      </rPr>
      <t>波黑</t>
    </r>
  </si>
  <si>
    <r>
      <rPr>
        <sz val="11"/>
        <color theme="1"/>
        <rFont val="宋体"/>
        <charset val="134"/>
      </rPr>
      <t>阿尔巴尼亚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</si>
</sst>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_ "/>
  </numFmts>
  <fonts count="31">
    <font>
      <sz val="11"/>
      <color theme="1"/>
      <name val="宋体"/>
      <charset val="134"/>
      <scheme val="minor"/>
    </font>
    <font>
      <b/>
      <sz val="10.5"/>
      <color rgb="FF000000"/>
      <name val="Times New Roman"/>
      <charset val="134"/>
    </font>
    <font>
      <b/>
      <sz val="10.5"/>
      <color rgb="FF000000"/>
      <name val="宋体"/>
      <charset val="134"/>
    </font>
    <font>
      <sz val="10.5"/>
      <color rgb="FF000000"/>
      <name val="Times New Roman"/>
      <charset val="134"/>
    </font>
    <font>
      <sz val="11"/>
      <color rgb="FFFF0000"/>
      <name val="Times New Roman"/>
      <charset val="134"/>
    </font>
    <font>
      <sz val="11"/>
      <color theme="1"/>
      <name val="Times New Roman"/>
      <charset val="134"/>
    </font>
    <font>
      <sz val="11"/>
      <color rgb="FF00B050"/>
      <name val="Times New Roman"/>
      <charset val="134"/>
    </font>
    <font>
      <sz val="11"/>
      <color rgb="FFFF0000"/>
      <name val="宋体"/>
      <charset val="134"/>
      <scheme val="minor"/>
    </font>
    <font>
      <sz val="11"/>
      <color rgb="FF00B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color rgb="FF00B050"/>
      <name val="宋体"/>
      <charset val="134"/>
    </font>
    <font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3" fontId="5" fillId="0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176" fontId="0" fillId="0" borderId="4" xfId="0" applyNumberFormat="1" applyFont="1" applyFill="1" applyBorder="1" applyAlignment="1">
      <alignment horizontal="center" vertical="center"/>
    </xf>
    <xf numFmtId="177" fontId="0" fillId="0" borderId="4" xfId="0" applyNumberFormat="1" applyFont="1" applyFill="1" applyBorder="1" applyAlignment="1">
      <alignment horizontal="center" vertical="center"/>
    </xf>
    <xf numFmtId="3" fontId="0" fillId="0" borderId="4" xfId="0" applyNumberFormat="1" applyFont="1" applyFill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8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G10" sqref="G10"/>
    </sheetView>
  </sheetViews>
  <sheetFormatPr defaultColWidth="9" defaultRowHeight="14.4"/>
  <cols>
    <col min="1" max="1" width="11.1296296296296" customWidth="1"/>
    <col min="2" max="4" width="10.5" customWidth="1"/>
    <col min="6" max="6" width="9" style="18"/>
    <col min="7" max="7" width="9.87962962962963" style="18" customWidth="1"/>
  </cols>
  <sheetData>
    <row r="1" spans="1:11">
      <c r="A1" s="19"/>
      <c r="B1" s="19" t="s">
        <v>0</v>
      </c>
      <c r="C1" s="20" t="s">
        <v>1</v>
      </c>
      <c r="D1" s="20" t="s">
        <v>2</v>
      </c>
      <c r="E1" s="19" t="s">
        <v>3</v>
      </c>
      <c r="F1" s="20" t="s">
        <v>4</v>
      </c>
      <c r="G1" s="20" t="s">
        <v>5</v>
      </c>
      <c r="H1" s="19" t="s">
        <v>6</v>
      </c>
    </row>
    <row r="2" spans="1:11">
      <c r="A2" s="21" t="s">
        <v>7</v>
      </c>
      <c r="B2" s="22">
        <v>6866</v>
      </c>
      <c r="C2" s="23">
        <v>0.387734357352609</v>
      </c>
      <c r="D2" s="24">
        <v>23</v>
      </c>
      <c r="E2" s="25">
        <v>3252</v>
      </c>
      <c r="F2" s="25">
        <v>21</v>
      </c>
      <c r="G2" s="26">
        <v>1.11131611316113</v>
      </c>
      <c r="H2" s="20">
        <v>-2</v>
      </c>
      <c r="K2" s="27"/>
    </row>
    <row r="3" spans="1:11">
      <c r="A3" s="21" t="s">
        <v>8</v>
      </c>
      <c r="B3" s="22">
        <v>5063</v>
      </c>
      <c r="C3" s="23">
        <v>0.285915970182968</v>
      </c>
      <c r="D3" s="24">
        <v>30</v>
      </c>
      <c r="E3" s="25">
        <v>2450</v>
      </c>
      <c r="F3" s="25">
        <v>27</v>
      </c>
      <c r="G3" s="26">
        <v>1.0665306122449</v>
      </c>
      <c r="H3" s="20">
        <v>-3</v>
      </c>
      <c r="K3" s="27"/>
    </row>
    <row r="4" spans="1:11">
      <c r="A4" s="21" t="s">
        <v>9</v>
      </c>
      <c r="B4" s="22">
        <v>4193</v>
      </c>
      <c r="C4" s="23">
        <v>0.236785633611927</v>
      </c>
      <c r="D4" s="24">
        <v>37</v>
      </c>
      <c r="E4" s="25">
        <v>2086</v>
      </c>
      <c r="F4" s="25">
        <v>30</v>
      </c>
      <c r="G4" s="26">
        <v>1.01006711409396</v>
      </c>
      <c r="H4" s="20">
        <v>-7</v>
      </c>
      <c r="K4" s="27"/>
    </row>
    <row r="5" spans="1:11">
      <c r="A5" s="21" t="s">
        <v>10</v>
      </c>
      <c r="B5" s="22">
        <v>3673</v>
      </c>
      <c r="C5" s="23">
        <v>0.207420374971764</v>
      </c>
      <c r="D5" s="24">
        <v>39</v>
      </c>
      <c r="E5" s="25">
        <v>1901</v>
      </c>
      <c r="F5" s="25">
        <v>34</v>
      </c>
      <c r="G5" s="26">
        <v>0.932140978432404</v>
      </c>
      <c r="H5" s="20">
        <v>-5</v>
      </c>
      <c r="K5" s="27"/>
    </row>
    <row r="6" spans="1:11">
      <c r="A6" s="21" t="s">
        <v>11</v>
      </c>
      <c r="B6" s="22">
        <v>3124</v>
      </c>
      <c r="C6" s="23">
        <v>0.1764174384459</v>
      </c>
      <c r="D6" s="24">
        <v>41</v>
      </c>
      <c r="E6" s="25">
        <v>1596</v>
      </c>
      <c r="F6" s="25">
        <v>38</v>
      </c>
      <c r="G6" s="26">
        <v>0.957393483709273</v>
      </c>
      <c r="H6" s="20">
        <v>-3</v>
      </c>
      <c r="K6" s="27"/>
    </row>
    <row r="7" spans="1:11">
      <c r="A7" s="28" t="s">
        <v>12</v>
      </c>
      <c r="B7" s="22">
        <v>1967</v>
      </c>
      <c r="C7" s="23">
        <v>0.111079737971538</v>
      </c>
      <c r="D7" s="24">
        <v>47</v>
      </c>
      <c r="E7" s="25">
        <v>1295</v>
      </c>
      <c r="F7" s="25">
        <v>42</v>
      </c>
      <c r="G7" s="26">
        <v>0.518918918918919</v>
      </c>
      <c r="H7" s="20">
        <v>-5</v>
      </c>
      <c r="K7" s="27"/>
    </row>
    <row r="8" spans="1:11">
      <c r="A8" s="28" t="s">
        <v>13</v>
      </c>
      <c r="B8" s="22">
        <v>1920</v>
      </c>
      <c r="C8" s="23">
        <v>0.108425570363677</v>
      </c>
      <c r="D8" s="24">
        <v>48</v>
      </c>
      <c r="E8" s="25">
        <v>1045</v>
      </c>
      <c r="F8" s="25">
        <v>46</v>
      </c>
      <c r="G8" s="26">
        <v>0.837320574162679</v>
      </c>
      <c r="H8" s="20">
        <v>-2</v>
      </c>
      <c r="K8" s="27"/>
    </row>
    <row r="9" spans="1:11">
      <c r="A9" s="28" t="s">
        <v>14</v>
      </c>
      <c r="B9" s="22">
        <v>1809</v>
      </c>
      <c r="C9" s="23">
        <v>0.102157217077027</v>
      </c>
      <c r="D9" s="24">
        <v>50</v>
      </c>
      <c r="E9" s="25">
        <v>896</v>
      </c>
      <c r="F9" s="25">
        <v>52</v>
      </c>
      <c r="G9" s="26">
        <v>1.01897321428571</v>
      </c>
      <c r="H9" s="20">
        <v>2</v>
      </c>
      <c r="K9" s="27"/>
    </row>
    <row r="10" spans="1:11">
      <c r="A10" s="28" t="s">
        <v>15</v>
      </c>
      <c r="B10" s="22">
        <v>1690</v>
      </c>
      <c r="C10" s="23">
        <v>0.0954370905805286</v>
      </c>
      <c r="D10" s="24">
        <v>51</v>
      </c>
      <c r="E10" s="25">
        <v>907</v>
      </c>
      <c r="F10" s="25">
        <v>51</v>
      </c>
      <c r="G10" s="26">
        <v>0.863285556780595</v>
      </c>
      <c r="H10" s="20">
        <v>0</v>
      </c>
      <c r="K10" s="27"/>
    </row>
    <row r="11" spans="1:11">
      <c r="A11" s="28" t="s">
        <v>16</v>
      </c>
      <c r="B11" s="22">
        <v>1621</v>
      </c>
      <c r="C11" s="23">
        <v>0.0915405466455839</v>
      </c>
      <c r="D11" s="24">
        <v>52</v>
      </c>
      <c r="E11" s="25">
        <v>693</v>
      </c>
      <c r="F11" s="25">
        <v>55</v>
      </c>
      <c r="G11" s="26">
        <v>1.33910533910534</v>
      </c>
      <c r="H11" s="20">
        <v>3</v>
      </c>
      <c r="K11" s="27"/>
    </row>
    <row r="12" spans="1:11">
      <c r="A12" s="28" t="s">
        <v>17</v>
      </c>
      <c r="B12" s="22">
        <v>1528</v>
      </c>
      <c r="C12" s="23">
        <v>0.0862886830810933</v>
      </c>
      <c r="D12" s="24">
        <v>53</v>
      </c>
      <c r="E12" s="25">
        <v>714</v>
      </c>
      <c r="F12" s="25">
        <v>54</v>
      </c>
      <c r="G12" s="26">
        <v>1.14005602240896</v>
      </c>
      <c r="H12" s="20">
        <v>1</v>
      </c>
      <c r="K12" s="27"/>
    </row>
    <row r="13" spans="1:11">
      <c r="A13" s="29" t="s">
        <v>18</v>
      </c>
      <c r="B13" s="22">
        <v>1028</v>
      </c>
      <c r="C13" s="23">
        <v>0.0580528574655523</v>
      </c>
      <c r="D13" s="24">
        <v>64</v>
      </c>
      <c r="E13" s="25">
        <v>97</v>
      </c>
      <c r="F13" s="25">
        <v>87</v>
      </c>
      <c r="G13" s="26">
        <v>9.5979381443299</v>
      </c>
      <c r="H13" s="20">
        <v>23</v>
      </c>
      <c r="K13" s="27"/>
    </row>
    <row r="14" spans="1:11">
      <c r="A14" s="29" t="s">
        <v>19</v>
      </c>
      <c r="B14" s="25">
        <v>178</v>
      </c>
      <c r="C14" s="23">
        <v>0.0100519539191326</v>
      </c>
      <c r="D14" s="24">
        <v>99</v>
      </c>
      <c r="E14" s="25">
        <v>70</v>
      </c>
      <c r="F14" s="25">
        <v>94</v>
      </c>
      <c r="G14" s="26">
        <v>1.54285714285714</v>
      </c>
      <c r="H14" s="20">
        <v>-5</v>
      </c>
      <c r="K14" s="27"/>
    </row>
    <row r="15" spans="1:11">
      <c r="A15" s="29" t="s">
        <v>20</v>
      </c>
      <c r="B15" s="25">
        <v>129</v>
      </c>
      <c r="C15" s="23">
        <v>0.00728484300880958</v>
      </c>
      <c r="D15" s="24">
        <v>108</v>
      </c>
      <c r="E15" s="25">
        <v>11</v>
      </c>
      <c r="F15" s="25">
        <v>139</v>
      </c>
      <c r="G15" s="26">
        <v>10.7272727272727</v>
      </c>
      <c r="H15" s="20">
        <v>31</v>
      </c>
      <c r="K15" s="27"/>
    </row>
    <row r="16" spans="1:11">
      <c r="A16" s="29" t="s">
        <v>21</v>
      </c>
      <c r="B16" s="25">
        <v>90</v>
      </c>
      <c r="C16" s="23">
        <v>0.00508244861079738</v>
      </c>
      <c r="D16" s="24">
        <v>117</v>
      </c>
      <c r="E16" s="25">
        <v>17</v>
      </c>
      <c r="F16" s="25">
        <v>133</v>
      </c>
      <c r="G16" s="26">
        <v>4.29411764705882</v>
      </c>
      <c r="H16" s="20">
        <v>16</v>
      </c>
      <c r="K16" s="27"/>
    </row>
    <row r="17" spans="1:11">
      <c r="A17" s="29" t="s">
        <v>22</v>
      </c>
      <c r="B17" s="25">
        <v>71</v>
      </c>
      <c r="C17" s="23">
        <v>0.00400948723740682</v>
      </c>
      <c r="D17" s="24">
        <v>124</v>
      </c>
      <c r="E17" s="25">
        <v>6</v>
      </c>
      <c r="F17" s="25">
        <v>149</v>
      </c>
      <c r="G17" s="26">
        <v>10.8333333333333</v>
      </c>
      <c r="H17" s="20">
        <v>25</v>
      </c>
      <c r="K17" s="27"/>
    </row>
    <row r="18" spans="1:11">
      <c r="K18" s="27"/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C2" sqref="C2"/>
    </sheetView>
  </sheetViews>
  <sheetFormatPr defaultColWidth="9" defaultRowHeight="14.4" outlineLevelCol="5"/>
  <sheetData>
    <row r="1" ht="15" customHeight="1" spans="1:6">
      <c r="A1" s="1" t="s">
        <v>23</v>
      </c>
      <c r="B1" s="1" t="s">
        <v>24</v>
      </c>
      <c r="C1" s="2" t="s">
        <v>25</v>
      </c>
      <c r="D1" s="1" t="s">
        <v>26</v>
      </c>
      <c r="E1" s="3" t="s">
        <v>27</v>
      </c>
      <c r="F1" s="3"/>
    </row>
    <row r="2" ht="15.15" spans="1:6">
      <c r="A2" s="4" t="s">
        <v>28</v>
      </c>
      <c r="B2" s="5" t="s">
        <v>29</v>
      </c>
      <c r="C2" s="5" t="s">
        <v>30</v>
      </c>
      <c r="D2" s="5" t="s">
        <v>31</v>
      </c>
      <c r="E2" s="3"/>
      <c r="F2" s="3"/>
    </row>
    <row r="3" ht="15.15" spans="1:6">
      <c r="A3" s="6"/>
      <c r="B3" s="4"/>
      <c r="C3" s="4"/>
      <c r="D3" s="7"/>
      <c r="E3" s="4" t="s">
        <v>5</v>
      </c>
      <c r="F3" s="8" t="s">
        <v>32</v>
      </c>
    </row>
    <row r="4" spans="1:6">
      <c r="A4" s="9" t="s">
        <v>33</v>
      </c>
      <c r="B4" s="10">
        <v>6866</v>
      </c>
      <c r="C4" s="11">
        <f t="shared" ref="C4:C19" si="0">B4/17708</f>
        <v>0.387734357352609</v>
      </c>
      <c r="D4" s="12">
        <v>23</v>
      </c>
      <c r="E4" s="13">
        <v>1.11131611316113</v>
      </c>
      <c r="F4" s="14">
        <v>-2</v>
      </c>
    </row>
    <row r="5" spans="1:6">
      <c r="A5" s="9" t="s">
        <v>34</v>
      </c>
      <c r="B5" s="10">
        <v>5063</v>
      </c>
      <c r="C5" s="11">
        <f t="shared" si="0"/>
        <v>0.285915970182968</v>
      </c>
      <c r="D5" s="12">
        <v>30</v>
      </c>
      <c r="E5" s="13">
        <v>1.0665306122449</v>
      </c>
      <c r="F5" s="14">
        <v>-3</v>
      </c>
    </row>
    <row r="6" spans="1:6">
      <c r="A6" s="9" t="s">
        <v>35</v>
      </c>
      <c r="B6" s="10">
        <v>4193</v>
      </c>
      <c r="C6" s="11">
        <f t="shared" si="0"/>
        <v>0.236785633611927</v>
      </c>
      <c r="D6" s="12">
        <v>37</v>
      </c>
      <c r="E6" s="13">
        <v>1.01006711409396</v>
      </c>
      <c r="F6" s="14">
        <v>-7</v>
      </c>
    </row>
    <row r="7" spans="1:6">
      <c r="A7" s="9" t="s">
        <v>36</v>
      </c>
      <c r="B7" s="10">
        <v>3673</v>
      </c>
      <c r="C7" s="11">
        <f t="shared" si="0"/>
        <v>0.207420374971764</v>
      </c>
      <c r="D7" s="12">
        <v>39</v>
      </c>
      <c r="E7" s="13">
        <v>0.932140978432404</v>
      </c>
      <c r="F7" s="14">
        <v>-5</v>
      </c>
    </row>
    <row r="8" spans="1:6">
      <c r="A8" s="9" t="s">
        <v>37</v>
      </c>
      <c r="B8" s="10">
        <v>3124</v>
      </c>
      <c r="C8" s="11">
        <f t="shared" si="0"/>
        <v>0.1764174384459</v>
      </c>
      <c r="D8" s="12">
        <v>41</v>
      </c>
      <c r="E8" s="13">
        <v>0.957393483709273</v>
      </c>
      <c r="F8" s="14">
        <v>-3</v>
      </c>
    </row>
    <row r="9" spans="1:6">
      <c r="A9" s="15" t="s">
        <v>38</v>
      </c>
      <c r="B9" s="10">
        <v>1967</v>
      </c>
      <c r="C9" s="11">
        <f t="shared" si="0"/>
        <v>0.111079737971538</v>
      </c>
      <c r="D9" s="12">
        <v>47</v>
      </c>
      <c r="E9" s="13">
        <v>0.518918918918919</v>
      </c>
      <c r="F9" s="14">
        <v>-5</v>
      </c>
    </row>
    <row r="10" spans="1:6">
      <c r="A10" s="15" t="s">
        <v>39</v>
      </c>
      <c r="B10" s="10">
        <v>1920</v>
      </c>
      <c r="C10" s="11">
        <f t="shared" si="0"/>
        <v>0.108425570363677</v>
      </c>
      <c r="D10" s="12">
        <v>48</v>
      </c>
      <c r="E10" s="13">
        <v>0.837320574162679</v>
      </c>
      <c r="F10" s="14">
        <v>-2</v>
      </c>
    </row>
    <row r="11" spans="1:6">
      <c r="A11" s="15" t="s">
        <v>40</v>
      </c>
      <c r="B11" s="10">
        <v>1809</v>
      </c>
      <c r="C11" s="11">
        <f t="shared" si="0"/>
        <v>0.102157217077027</v>
      </c>
      <c r="D11" s="12">
        <v>50</v>
      </c>
      <c r="E11" s="13">
        <v>1.01897321428571</v>
      </c>
      <c r="F11" s="14">
        <v>2</v>
      </c>
    </row>
    <row r="12" spans="1:6">
      <c r="A12" s="15" t="s">
        <v>41</v>
      </c>
      <c r="B12" s="10">
        <v>1690</v>
      </c>
      <c r="C12" s="11">
        <f t="shared" si="0"/>
        <v>0.0954370905805286</v>
      </c>
      <c r="D12" s="12">
        <v>51</v>
      </c>
      <c r="E12" s="13">
        <v>0.863285556780595</v>
      </c>
      <c r="F12" s="14">
        <v>0</v>
      </c>
    </row>
    <row r="13" spans="1:6">
      <c r="A13" s="15" t="s">
        <v>42</v>
      </c>
      <c r="B13" s="10">
        <v>1621</v>
      </c>
      <c r="C13" s="11">
        <f t="shared" si="0"/>
        <v>0.0915405466455839</v>
      </c>
      <c r="D13" s="12">
        <v>52</v>
      </c>
      <c r="E13" s="13">
        <v>1.33910533910534</v>
      </c>
      <c r="F13" s="14">
        <v>3</v>
      </c>
    </row>
    <row r="14" spans="1:6">
      <c r="A14" s="15" t="s">
        <v>43</v>
      </c>
      <c r="B14" s="10">
        <v>1528</v>
      </c>
      <c r="C14" s="11">
        <f t="shared" si="0"/>
        <v>0.0862886830810933</v>
      </c>
      <c r="D14" s="12">
        <v>53</v>
      </c>
      <c r="E14" s="13">
        <v>1.14005602240896</v>
      </c>
      <c r="F14" s="14">
        <v>1</v>
      </c>
    </row>
    <row r="15" spans="1:6">
      <c r="A15" s="16" t="s">
        <v>44</v>
      </c>
      <c r="B15" s="10">
        <v>1028</v>
      </c>
      <c r="C15" s="11">
        <f t="shared" si="0"/>
        <v>0.0580528574655523</v>
      </c>
      <c r="D15" s="12">
        <v>64</v>
      </c>
      <c r="E15" s="13">
        <v>9.5979381443299</v>
      </c>
      <c r="F15" s="14">
        <v>23</v>
      </c>
    </row>
    <row r="16" spans="1:6">
      <c r="A16" s="16" t="s">
        <v>45</v>
      </c>
      <c r="B16" s="17">
        <v>178</v>
      </c>
      <c r="C16" s="11">
        <f t="shared" si="0"/>
        <v>0.0100519539191326</v>
      </c>
      <c r="D16" s="12">
        <v>99</v>
      </c>
      <c r="E16" s="13">
        <v>1.54285714285714</v>
      </c>
      <c r="F16" s="14">
        <v>-5</v>
      </c>
    </row>
    <row r="17" spans="1:6">
      <c r="A17" s="16" t="s">
        <v>46</v>
      </c>
      <c r="B17" s="17">
        <v>129</v>
      </c>
      <c r="C17" s="11">
        <f t="shared" si="0"/>
        <v>0.00728484300880958</v>
      </c>
      <c r="D17" s="12">
        <v>108</v>
      </c>
      <c r="E17" s="13">
        <v>10.7272727272727</v>
      </c>
      <c r="F17" s="14">
        <v>31</v>
      </c>
    </row>
    <row r="18" spans="1:6">
      <c r="A18" s="16" t="s">
        <v>47</v>
      </c>
      <c r="B18" s="17">
        <v>90</v>
      </c>
      <c r="C18" s="11">
        <f t="shared" si="0"/>
        <v>0.00508244861079738</v>
      </c>
      <c r="D18" s="12">
        <v>117</v>
      </c>
      <c r="E18" s="13">
        <v>4.29411764705882</v>
      </c>
      <c r="F18" s="14">
        <v>16</v>
      </c>
    </row>
    <row r="19" ht="15.15" spans="1:6">
      <c r="A19" s="16" t="s">
        <v>48</v>
      </c>
      <c r="B19" s="17">
        <v>71</v>
      </c>
      <c r="C19" s="11">
        <f t="shared" si="0"/>
        <v>0.00400948723740682</v>
      </c>
      <c r="D19" s="6">
        <v>124</v>
      </c>
      <c r="E19" s="13">
        <v>10.8333333333333</v>
      </c>
      <c r="F19" s="14">
        <v>25</v>
      </c>
    </row>
  </sheetData>
  <mergeCells count="1">
    <mergeCell ref="E1:F2"/>
  </mergeCells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王国盛</cp:lastModifiedBy>
  <dcterms:created xsi:type="dcterms:W3CDTF">2006-09-13T11:21:00Z</dcterms:created>
  <dcterms:modified xsi:type="dcterms:W3CDTF">2026-05-28T14:12:41Z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5BEA8BA61FFD4718B18EEE54DAE752E9_12</vt:lpwstr>
  </property>
  <property fmtid="{D5CDD505-2E9C-101B-9397-08002B2CF9AE}" pid="4" name="CalculationRule">
    <vt:i4>0</vt:i4>
  </property>
</Properties>
</file>